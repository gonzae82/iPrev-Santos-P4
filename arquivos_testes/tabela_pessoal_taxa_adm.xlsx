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_PESSOAL_TAXA_ADM" sheetId="1" r:id="rId4"/>
  </sheets>
  <definedNames>
    <definedName hidden="1" localSheetId="0" name="_xlnm._FilterDatabase">TABELA_PESSOAL_TAXA_ADM!$A$1:$C$111</definedName>
  </definedNames>
  <calcPr/>
</workbook>
</file>

<file path=xl/sharedStrings.xml><?xml version="1.0" encoding="utf-8"?>
<sst xmlns="http://schemas.openxmlformats.org/spreadsheetml/2006/main" count="497" uniqueCount="112">
  <si>
    <t>MES</t>
  </si>
  <si>
    <t>ANO</t>
  </si>
  <si>
    <t>SERVIDOR</t>
  </si>
  <si>
    <t>CARGO</t>
  </si>
  <si>
    <t>DESCRICAO_FUNCAO_GRATIFICADA</t>
  </si>
  <si>
    <t>ABREV</t>
  </si>
  <si>
    <t>QTDE</t>
  </si>
  <si>
    <t>DEPARTAMENTOS</t>
  </si>
  <si>
    <t>VENCIMENTO</t>
  </si>
  <si>
    <t>FUNCAO_RATIFICADA</t>
  </si>
  <si>
    <t>GDA</t>
  </si>
  <si>
    <t>S_13_SAL</t>
  </si>
  <si>
    <t>S_13_SAL_2</t>
  </si>
  <si>
    <t>ATS</t>
  </si>
  <si>
    <t>REM_FERIAS</t>
  </si>
  <si>
    <t>AUX_ALIM</t>
  </si>
  <si>
    <t>FALTAS</t>
  </si>
  <si>
    <t>SOMA</t>
  </si>
  <si>
    <t>PATR_CAPEP</t>
  </si>
  <si>
    <t>PATR_IPREV</t>
  </si>
  <si>
    <t>PATR_INSS</t>
  </si>
  <si>
    <t>PATR_CX_PREV</t>
  </si>
  <si>
    <t>SOMA_2</t>
  </si>
  <si>
    <t>CUSTO_TOTAL</t>
  </si>
  <si>
    <t>CUSTO_HORA</t>
  </si>
  <si>
    <t>CAPEP</t>
  </si>
  <si>
    <t>IPREV</t>
  </si>
  <si>
    <t>INSS</t>
  </si>
  <si>
    <t>CX_PREVID</t>
  </si>
  <si>
    <t>ALESSANDRA</t>
  </si>
  <si>
    <t>PROCURADOR</t>
  </si>
  <si>
    <t>AN-PREV</t>
  </si>
  <si>
    <t>DEJUR</t>
  </si>
  <si>
    <t>CARLOS EDUARDO</t>
  </si>
  <si>
    <t>SABRINA</t>
  </si>
  <si>
    <t>ANALISTA - GENERALISTA</t>
  </si>
  <si>
    <t>DEAFI</t>
  </si>
  <si>
    <t>CARLOS AUGUSTO</t>
  </si>
  <si>
    <t>PRESID</t>
  </si>
  <si>
    <t>YARA</t>
  </si>
  <si>
    <t>DEPREV</t>
  </si>
  <si>
    <t>LYLIAN</t>
  </si>
  <si>
    <t>ANALISTA - CONTABILIDADE</t>
  </si>
  <si>
    <t>CHEFE SEÇÃO 1 - SETES</t>
  </si>
  <si>
    <t>RAFAEL</t>
  </si>
  <si>
    <t>RODRIGO</t>
  </si>
  <si>
    <t>ANALISTA - INVESTIMENTOS</t>
  </si>
  <si>
    <t>CHEFE SEÇÃO 2 - SAAF</t>
  </si>
  <si>
    <t>BRUNO *</t>
  </si>
  <si>
    <t>THIAGO</t>
  </si>
  <si>
    <t>AGENTE PREVIDENCIÁRIO</t>
  </si>
  <si>
    <t>CHEFE SEÇÃO 1 - SEPREV</t>
  </si>
  <si>
    <t>AG-PREV</t>
  </si>
  <si>
    <t>DANILO</t>
  </si>
  <si>
    <t>LARISSA</t>
  </si>
  <si>
    <t>RENATA</t>
  </si>
  <si>
    <t>CLEITON</t>
  </si>
  <si>
    <t>JOÃO</t>
  </si>
  <si>
    <t>LUIZ FELIPE</t>
  </si>
  <si>
    <t>CELIO</t>
  </si>
  <si>
    <t>EMERSON</t>
  </si>
  <si>
    <t>CHEFE SEÇÃO 2 - SEMAS</t>
  </si>
  <si>
    <t>LEONEL</t>
  </si>
  <si>
    <t>PREGOEIRO</t>
  </si>
  <si>
    <t>PEDRO</t>
  </si>
  <si>
    <t>ESTAGIÁRIO</t>
  </si>
  <si>
    <t>ESTAG</t>
  </si>
  <si>
    <t>MEL</t>
  </si>
  <si>
    <t>MARIA FERNANDA</t>
  </si>
  <si>
    <t>LUDMILA</t>
  </si>
  <si>
    <t>DAVI</t>
  </si>
  <si>
    <t>FREMAR</t>
  </si>
  <si>
    <t>PRESIDENTE</t>
  </si>
  <si>
    <t>CS</t>
  </si>
  <si>
    <t>MARCOS</t>
  </si>
  <si>
    <t>CHEFE DEPARTAMENTO</t>
  </si>
  <si>
    <t>C-1</t>
  </si>
  <si>
    <t>CALÇADA</t>
  </si>
  <si>
    <t>CARLOS AUGUSTO M</t>
  </si>
  <si>
    <t>COSME</t>
  </si>
  <si>
    <t>COORDENADOR 3</t>
  </si>
  <si>
    <t>C-3</t>
  </si>
  <si>
    <t>DANIELA</t>
  </si>
  <si>
    <t>THAIS</t>
  </si>
  <si>
    <t>CAROLINA</t>
  </si>
  <si>
    <t>CEDIDOS</t>
  </si>
  <si>
    <t>CHEFE SEÇÃO 1 - SERHU</t>
  </si>
  <si>
    <t>FG-1</t>
  </si>
  <si>
    <t>WALMIR</t>
  </si>
  <si>
    <t>CHEFE SEÇÃO 1 - SECONT</t>
  </si>
  <si>
    <t>LUCAS</t>
  </si>
  <si>
    <t>CHEFE SEÇÃO 1 - SEPEMIS</t>
  </si>
  <si>
    <t>DANIELE</t>
  </si>
  <si>
    <t>CHEFE SEÇÃO 3 - EXP ADM</t>
  </si>
  <si>
    <t>FG-3</t>
  </si>
  <si>
    <t>CRISTIAN</t>
  </si>
  <si>
    <t>AGENTE CONTRATAÇÃO</t>
  </si>
  <si>
    <t>AG-CONT</t>
  </si>
  <si>
    <t>ISABELA</t>
  </si>
  <si>
    <t>CED</t>
  </si>
  <si>
    <t>GIULIA</t>
  </si>
  <si>
    <t>DANIEL</t>
  </si>
  <si>
    <t>SÉRGIO MAURÍCIO</t>
  </si>
  <si>
    <t>KERGINALDO</t>
  </si>
  <si>
    <t>CLÁUDIA</t>
  </si>
  <si>
    <t>CHEFE SEÇÃO 1 - ASSIST (+) CONTR INT</t>
  </si>
  <si>
    <t>EDUARDO</t>
  </si>
  <si>
    <t>FG-2</t>
  </si>
  <si>
    <t>JEAN</t>
  </si>
  <si>
    <t>CHEFE SEÇÃO 2 - SAAF (+) CONT INT</t>
  </si>
  <si>
    <t>VANDRÉ</t>
  </si>
  <si>
    <t>ANDRÉ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</si>
</sst>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_ ;[Red]\-#,##0.00\ "/>
    <numFmt numFmtId="165" formatCode="_-* #,##0.00_-;\-* #,##0.00_-;_-* &quot;-&quot;??_-;_-@"/>
  </numFmts>
  <fonts count="7">
    <font>
      <sz val="10.0"/>
      <color rgb="FF000000"/>
      <name val="Arial"/>
      <scheme val="minor"/>
    </font>
    <font>
      <b/>
      <sz val="10.0"/>
      <color rgb="FFFFFFFF"/>
      <name val="Arial"/>
    </font>
    <font>
      <b/>
      <sz val="10.0"/>
      <color theme="0"/>
      <name val="Aptos Narrow"/>
    </font>
    <font>
      <sz val="8.0"/>
      <color theme="1"/>
      <name val="Aptos Narrow"/>
    </font>
    <font>
      <sz val="10.0"/>
      <color theme="1"/>
      <name val="Aptos Narrow"/>
    </font>
    <font>
      <b/>
      <sz val="10.0"/>
      <color theme="1"/>
      <name val="Aptos Narrow"/>
    </font>
    <font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71717"/>
        <bgColor rgb="FF171717"/>
      </patternFill>
    </fill>
    <fill>
      <patternFill patternType="solid">
        <fgColor rgb="FFD8D8D8"/>
        <bgColor rgb="FFD8D8D8"/>
      </patternFill>
    </fill>
    <fill>
      <patternFill patternType="solid">
        <fgColor rgb="FFF1CEEE"/>
        <bgColor rgb="FFF1CEEE"/>
      </patternFill>
    </fill>
    <fill>
      <patternFill patternType="solid">
        <fgColor rgb="FFB3E5A1"/>
        <bgColor rgb="FFB3E5A1"/>
      </patternFill>
    </fill>
    <fill>
      <patternFill patternType="solid">
        <fgColor rgb="FF95DCF7"/>
        <bgColor rgb="FF95DCF7"/>
      </patternFill>
    </fill>
  </fills>
  <borders count="5">
    <border/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hair">
        <color theme="0"/>
      </left>
      <right style="hair">
        <color theme="0"/>
      </right>
      <top/>
      <bottom style="hair">
        <color theme="0"/>
      </bottom>
    </border>
    <border>
      <left style="hair">
        <color theme="0"/>
      </left>
      <right style="hair">
        <color theme="0"/>
      </right>
      <bottom style="hair">
        <color theme="0"/>
      </bottom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2" fillId="3" fontId="4" numFmtId="17" xfId="0" applyBorder="1" applyFill="1" applyFont="1" applyNumberFormat="1"/>
    <xf borderId="2" fillId="3" fontId="4" numFmtId="0" xfId="0" applyBorder="1" applyFont="1"/>
    <xf borderId="3" fillId="0" fontId="4" numFmtId="0" xfId="0" applyBorder="1" applyFont="1"/>
    <xf borderId="3" fillId="0" fontId="4" numFmtId="164" xfId="0" applyBorder="1" applyFont="1" applyNumberFormat="1"/>
    <xf borderId="2" fillId="4" fontId="4" numFmtId="164" xfId="0" applyBorder="1" applyFill="1" applyFont="1" applyNumberFormat="1"/>
    <xf borderId="2" fillId="5" fontId="4" numFmtId="164" xfId="0" applyBorder="1" applyFill="1" applyFont="1" applyNumberFormat="1"/>
    <xf borderId="2" fillId="6" fontId="5" numFmtId="164" xfId="0" applyBorder="1" applyFill="1" applyFont="1" applyNumberFormat="1"/>
    <xf borderId="0" fillId="0" fontId="3" numFmtId="164" xfId="0" applyFont="1" applyNumberFormat="1"/>
    <xf borderId="0" fillId="0" fontId="3" numFmtId="165" xfId="0" applyFont="1" applyNumberFormat="1"/>
    <xf borderId="0" fillId="0" fontId="3" numFmtId="0" xfId="0" applyFont="1"/>
    <xf borderId="4" fillId="0" fontId="4" numFmtId="17" xfId="0" applyBorder="1" applyFont="1" applyNumberFormat="1"/>
    <xf borderId="4" fillId="0" fontId="4" numFmtId="0" xfId="0" applyBorder="1" applyFont="1"/>
    <xf borderId="4" fillId="0" fontId="4" numFmtId="0" xfId="0" applyBorder="1" applyFont="1"/>
    <xf borderId="4" fillId="0" fontId="4" numFmtId="164" xfId="0" applyBorder="1" applyFont="1" applyNumberFormat="1"/>
    <xf borderId="4" fillId="4" fontId="4" numFmtId="164" xfId="0" applyBorder="1" applyFont="1" applyNumberFormat="1"/>
    <xf borderId="4" fillId="5" fontId="4" numFmtId="164" xfId="0" applyBorder="1" applyFont="1" applyNumberFormat="1"/>
    <xf borderId="4" fillId="6" fontId="5" numFmtId="164" xfId="0" applyBorder="1" applyFont="1" applyNumberFormat="1"/>
    <xf borderId="4" fillId="3" fontId="6" numFmtId="17" xfId="0" applyAlignment="1" applyBorder="1" applyFont="1" applyNumberFormat="1">
      <alignment readingOrder="0"/>
    </xf>
    <xf borderId="4" fillId="3" fontId="4" numFmtId="0" xfId="0" applyBorder="1" applyFont="1"/>
    <xf borderId="4" fillId="3" fontId="4" numFmtId="17" xfId="0" applyBorder="1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</dxfs>
  <tableStyles count="1">
    <tableStyle count="3" pivot="0" name="TABELA_PESSOAL_TAXA_ADM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D1:AC111" displayName="Table_1" name="Table_1" id="1">
  <tableColumns count="26">
    <tableColumn name="CARGO" id="1"/>
    <tableColumn name="DESCRICAO_FUNCAO_GRATIFICADA" id="2"/>
    <tableColumn name="ABREV" id="3"/>
    <tableColumn name="QTDE" id="4"/>
    <tableColumn name="DEPARTAMENTOS" id="5"/>
    <tableColumn name="VENCIMENTO" id="6"/>
    <tableColumn name="FUNCAO_RATIFICADA" id="7"/>
    <tableColumn name="GDA" id="8"/>
    <tableColumn name="S_13_SAL" id="9"/>
    <tableColumn name="S_13_SAL_2" id="10"/>
    <tableColumn name="ATS" id="11"/>
    <tableColumn name="REM_FERIAS" id="12"/>
    <tableColumn name="AUX_ALIM" id="13"/>
    <tableColumn name="FALTAS" id="14"/>
    <tableColumn name="SOMA" id="15"/>
    <tableColumn name="PATR_CAPEP" id="16"/>
    <tableColumn name="PATR_IPREV" id="17"/>
    <tableColumn name="PATR_INSS" id="18"/>
    <tableColumn name="PATR_CX_PREV" id="19"/>
    <tableColumn name="SOMA_2" id="20"/>
    <tableColumn name="CUSTO_TOTAL" id="21"/>
    <tableColumn name="CUSTO_HORA" id="22"/>
    <tableColumn name="CAPEP" id="23"/>
    <tableColumn name="IPREV" id="24"/>
    <tableColumn name="INSS" id="25"/>
    <tableColumn name="CX_PREVID" id="26"/>
  </tableColumns>
  <tableStyleInfo name="TABELA_PESSOAL_TAXA_AD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5.63"/>
    <col customWidth="1" min="3" max="3" width="16.38"/>
    <col customWidth="1" min="4" max="4" width="24.13"/>
    <col customWidth="1" min="5" max="5" width="34.0"/>
    <col customWidth="1" min="6" max="7" width="9.88"/>
    <col customWidth="1" min="8" max="8" width="17.13"/>
    <col customWidth="1" min="9" max="9" width="14.63"/>
    <col customWidth="1" min="10" max="10" width="24.0"/>
    <col customWidth="1" min="11" max="11" width="10.63"/>
    <col customWidth="1" min="12" max="12" width="10.88"/>
    <col customWidth="1" min="13" max="13" width="11.75"/>
    <col customWidth="1" min="14" max="14" width="8.13"/>
    <col customWidth="1" min="15" max="15" width="13.38"/>
    <col customWidth="1" min="16" max="16" width="11.88"/>
    <col customWidth="1" min="17" max="17" width="10.38"/>
    <col customWidth="1" min="18" max="18" width="11.75"/>
    <col customWidth="1" min="19" max="19" width="13.75"/>
    <col customWidth="1" min="20" max="20" width="13.13"/>
    <col customWidth="1" min="21" max="21" width="12.38"/>
    <col customWidth="1" min="22" max="22" width="14.88"/>
    <col customWidth="1" min="23" max="23" width="11.63"/>
    <col customWidth="1" min="24" max="24" width="12.38"/>
    <col customWidth="1" min="25" max="25" width="14.63"/>
    <col customWidth="1" min="26" max="29" width="9.13"/>
    <col customWidth="1" min="30" max="30" width="9.63"/>
    <col customWidth="1" min="31" max="49" width="9.13"/>
  </cols>
  <sheetData>
    <row r="1" ht="30.0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4" t="s">
        <v>14</v>
      </c>
      <c r="P1" s="4" t="s">
        <v>15</v>
      </c>
      <c r="Q1" s="3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3" t="s">
        <v>25</v>
      </c>
      <c r="AA1" s="3" t="s">
        <v>26</v>
      </c>
      <c r="AB1" s="3" t="s">
        <v>27</v>
      </c>
      <c r="AC1" s="4" t="s">
        <v>28</v>
      </c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ht="15.75" customHeight="1">
      <c r="A2" s="6">
        <v>45809.0</v>
      </c>
      <c r="B2" s="7">
        <v>2025.0</v>
      </c>
      <c r="C2" s="7" t="s">
        <v>29</v>
      </c>
      <c r="D2" s="8" t="s">
        <v>30</v>
      </c>
      <c r="E2" s="8"/>
      <c r="F2" s="8" t="s">
        <v>31</v>
      </c>
      <c r="G2" s="8">
        <v>1.0</v>
      </c>
      <c r="H2" s="8" t="s">
        <v>32</v>
      </c>
      <c r="I2" s="9">
        <v>7341.13</v>
      </c>
      <c r="J2" s="9"/>
      <c r="K2" s="9">
        <v>3264.69</v>
      </c>
      <c r="L2" s="9">
        <v>0.0</v>
      </c>
      <c r="M2" s="9">
        <v>3705.47</v>
      </c>
      <c r="N2" s="9">
        <v>0.0</v>
      </c>
      <c r="O2" s="9">
        <v>0.0</v>
      </c>
      <c r="P2" s="9">
        <v>968.0</v>
      </c>
      <c r="Q2" s="9">
        <v>0.0</v>
      </c>
      <c r="R2" s="10">
        <f t="shared" ref="R2:R34" si="1">SUM(I2:Q2)</f>
        <v>15279.29</v>
      </c>
      <c r="S2" s="9">
        <f t="shared" ref="S2:S40" si="2">Z2/0.03*0.05</f>
        <v>530.3</v>
      </c>
      <c r="T2" s="9">
        <f t="shared" ref="T2:T40" si="3">AA2/0.14*0.28</f>
        <v>2055.52</v>
      </c>
      <c r="U2" s="9">
        <v>0.0</v>
      </c>
      <c r="V2" s="9">
        <v>0.0</v>
      </c>
      <c r="W2" s="10">
        <f t="shared" ref="W2:W40" si="4">SUM(S2:V2)</f>
        <v>2585.82</v>
      </c>
      <c r="X2" s="11">
        <f t="shared" ref="X2:X40" si="5">R2+W2</f>
        <v>17865.11</v>
      </c>
      <c r="Y2" s="12">
        <f t="shared" ref="Y2:Y40" si="6">X2/220</f>
        <v>81.20504545</v>
      </c>
      <c r="Z2" s="9">
        <v>318.18</v>
      </c>
      <c r="AA2" s="9">
        <v>1027.76</v>
      </c>
      <c r="AB2" s="9">
        <v>0.0</v>
      </c>
      <c r="AC2" s="9">
        <v>0.0</v>
      </c>
      <c r="AD2" s="13"/>
      <c r="AE2" s="13"/>
      <c r="AF2" s="13"/>
      <c r="AG2" s="14"/>
      <c r="AH2" s="14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</row>
    <row r="3" ht="15.75" customHeight="1">
      <c r="A3" s="16">
        <v>45809.0</v>
      </c>
      <c r="B3" s="17">
        <v>2025.0</v>
      </c>
      <c r="C3" s="17" t="s">
        <v>33</v>
      </c>
      <c r="D3" s="18" t="s">
        <v>30</v>
      </c>
      <c r="E3" s="18"/>
      <c r="F3" s="18" t="s">
        <v>31</v>
      </c>
      <c r="G3" s="18">
        <v>1.0</v>
      </c>
      <c r="H3" s="18" t="s">
        <v>32</v>
      </c>
      <c r="I3" s="19">
        <v>7341.13</v>
      </c>
      <c r="J3" s="19"/>
      <c r="K3" s="19">
        <v>2611.75</v>
      </c>
      <c r="L3" s="19">
        <v>0.0</v>
      </c>
      <c r="M3" s="19">
        <v>3731.54</v>
      </c>
      <c r="N3" s="19">
        <v>0.0</v>
      </c>
      <c r="O3" s="19">
        <v>0.0</v>
      </c>
      <c r="P3" s="19">
        <v>968.0</v>
      </c>
      <c r="Q3" s="19">
        <v>0.0</v>
      </c>
      <c r="R3" s="20">
        <f t="shared" si="1"/>
        <v>14652.42</v>
      </c>
      <c r="S3" s="19">
        <f t="shared" si="2"/>
        <v>497.65</v>
      </c>
      <c r="T3" s="19">
        <f t="shared" si="3"/>
        <v>2055.52</v>
      </c>
      <c r="U3" s="19">
        <v>0.0</v>
      </c>
      <c r="V3" s="19">
        <v>0.0</v>
      </c>
      <c r="W3" s="20">
        <f t="shared" si="4"/>
        <v>2553.17</v>
      </c>
      <c r="X3" s="21">
        <f t="shared" si="5"/>
        <v>17205.59</v>
      </c>
      <c r="Y3" s="22">
        <f t="shared" si="6"/>
        <v>78.20722727</v>
      </c>
      <c r="Z3" s="19">
        <v>298.59</v>
      </c>
      <c r="AA3" s="19">
        <v>1027.76</v>
      </c>
      <c r="AB3" s="19">
        <v>0.0</v>
      </c>
      <c r="AC3" s="19">
        <v>0.0</v>
      </c>
      <c r="AD3" s="13"/>
      <c r="AE3" s="13"/>
      <c r="AF3" s="13"/>
      <c r="AG3" s="14"/>
      <c r="AH3" s="14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</row>
    <row r="4" ht="15.75" customHeight="1">
      <c r="A4" s="23">
        <v>45809.0</v>
      </c>
      <c r="B4" s="24">
        <v>2025.0</v>
      </c>
      <c r="C4" s="24" t="s">
        <v>34</v>
      </c>
      <c r="D4" s="18" t="s">
        <v>35</v>
      </c>
      <c r="E4" s="18"/>
      <c r="F4" s="18" t="s">
        <v>31</v>
      </c>
      <c r="G4" s="18">
        <v>1.0</v>
      </c>
      <c r="H4" s="18" t="s">
        <v>36</v>
      </c>
      <c r="I4" s="19">
        <v>7341.13</v>
      </c>
      <c r="J4" s="19"/>
      <c r="K4" s="19">
        <v>2611.75</v>
      </c>
      <c r="L4" s="19">
        <v>0.0</v>
      </c>
      <c r="M4" s="19">
        <v>3679.4</v>
      </c>
      <c r="N4" s="19">
        <v>0.0</v>
      </c>
      <c r="O4" s="19">
        <v>0.0</v>
      </c>
      <c r="P4" s="19">
        <v>968.0</v>
      </c>
      <c r="Q4" s="19">
        <v>0.0</v>
      </c>
      <c r="R4" s="20">
        <f t="shared" si="1"/>
        <v>14600.28</v>
      </c>
      <c r="S4" s="19">
        <f t="shared" si="2"/>
        <v>497.65</v>
      </c>
      <c r="T4" s="19">
        <f t="shared" si="3"/>
        <v>2055.52</v>
      </c>
      <c r="U4" s="19">
        <v>0.0</v>
      </c>
      <c r="V4" s="19">
        <v>0.0</v>
      </c>
      <c r="W4" s="20">
        <f t="shared" si="4"/>
        <v>2553.17</v>
      </c>
      <c r="X4" s="21">
        <f t="shared" si="5"/>
        <v>17153.45</v>
      </c>
      <c r="Y4" s="22">
        <f t="shared" si="6"/>
        <v>77.97022727</v>
      </c>
      <c r="Z4" s="19">
        <v>298.59</v>
      </c>
      <c r="AA4" s="19">
        <v>1027.76</v>
      </c>
      <c r="AB4" s="19">
        <v>0.0</v>
      </c>
      <c r="AC4" s="19">
        <v>0.0</v>
      </c>
      <c r="AD4" s="13"/>
      <c r="AE4" s="13"/>
      <c r="AF4" s="13"/>
      <c r="AG4" s="14"/>
      <c r="AH4" s="14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</row>
    <row r="5" ht="15.75" customHeight="1">
      <c r="A5" s="16">
        <v>45809.0</v>
      </c>
      <c r="B5" s="17">
        <v>2025.0</v>
      </c>
      <c r="C5" s="17" t="s">
        <v>37</v>
      </c>
      <c r="D5" s="18" t="s">
        <v>35</v>
      </c>
      <c r="E5" s="18"/>
      <c r="F5" s="18" t="s">
        <v>31</v>
      </c>
      <c r="G5" s="18">
        <v>1.0</v>
      </c>
      <c r="H5" s="18" t="s">
        <v>38</v>
      </c>
      <c r="I5" s="19">
        <v>7341.13</v>
      </c>
      <c r="J5" s="19"/>
      <c r="K5" s="19">
        <v>2611.75</v>
      </c>
      <c r="L5" s="19">
        <v>0.0</v>
      </c>
      <c r="M5" s="19">
        <v>3793.83</v>
      </c>
      <c r="N5" s="19">
        <v>367.06</v>
      </c>
      <c r="O5" s="19">
        <v>0.0</v>
      </c>
      <c r="P5" s="19">
        <v>968.0</v>
      </c>
      <c r="Q5" s="19">
        <v>0.0</v>
      </c>
      <c r="R5" s="20">
        <f t="shared" si="1"/>
        <v>15081.77</v>
      </c>
      <c r="S5" s="19">
        <f t="shared" si="2"/>
        <v>516</v>
      </c>
      <c r="T5" s="19">
        <f t="shared" si="3"/>
        <v>2158.3</v>
      </c>
      <c r="U5" s="19">
        <v>0.0</v>
      </c>
      <c r="V5" s="19">
        <v>0.0</v>
      </c>
      <c r="W5" s="20">
        <f t="shared" si="4"/>
        <v>2674.3</v>
      </c>
      <c r="X5" s="21">
        <f t="shared" si="5"/>
        <v>17756.07</v>
      </c>
      <c r="Y5" s="22">
        <f t="shared" si="6"/>
        <v>80.70940909</v>
      </c>
      <c r="Z5" s="19">
        <v>309.6</v>
      </c>
      <c r="AA5" s="19">
        <v>1079.15</v>
      </c>
      <c r="AB5" s="19">
        <v>0.0</v>
      </c>
      <c r="AC5" s="19">
        <v>0.0</v>
      </c>
      <c r="AD5" s="13"/>
      <c r="AE5" s="13"/>
      <c r="AF5" s="13"/>
      <c r="AG5" s="14"/>
      <c r="AH5" s="14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</row>
    <row r="6" ht="15.75" customHeight="1">
      <c r="A6" s="25">
        <v>45809.0</v>
      </c>
      <c r="B6" s="24">
        <v>2025.0</v>
      </c>
      <c r="C6" s="24" t="s">
        <v>39</v>
      </c>
      <c r="D6" s="18" t="s">
        <v>35</v>
      </c>
      <c r="E6" s="18"/>
      <c r="F6" s="18" t="s">
        <v>31</v>
      </c>
      <c r="G6" s="18">
        <v>1.0</v>
      </c>
      <c r="H6" s="18" t="s">
        <v>40</v>
      </c>
      <c r="I6" s="19">
        <v>489.41</v>
      </c>
      <c r="J6" s="19"/>
      <c r="K6" s="19">
        <v>0.0</v>
      </c>
      <c r="L6" s="19">
        <v>0.0</v>
      </c>
      <c r="M6" s="19">
        <v>0.0</v>
      </c>
      <c r="N6" s="19">
        <v>0.0</v>
      </c>
      <c r="O6" s="19">
        <v>0.0</v>
      </c>
      <c r="P6" s="19">
        <v>64.53</v>
      </c>
      <c r="Q6" s="19">
        <v>0.0</v>
      </c>
      <c r="R6" s="20">
        <f t="shared" si="1"/>
        <v>553.94</v>
      </c>
      <c r="S6" s="19">
        <f t="shared" si="2"/>
        <v>24.46666667</v>
      </c>
      <c r="T6" s="19">
        <f t="shared" si="3"/>
        <v>137.04</v>
      </c>
      <c r="U6" s="19">
        <v>0.0</v>
      </c>
      <c r="V6" s="19">
        <v>0.0</v>
      </c>
      <c r="W6" s="20">
        <f t="shared" si="4"/>
        <v>161.5066667</v>
      </c>
      <c r="X6" s="21">
        <f t="shared" si="5"/>
        <v>715.4466667</v>
      </c>
      <c r="Y6" s="22">
        <f t="shared" si="6"/>
        <v>3.252030303</v>
      </c>
      <c r="Z6" s="19">
        <v>14.68</v>
      </c>
      <c r="AA6" s="19">
        <v>68.52</v>
      </c>
      <c r="AB6" s="19">
        <v>0.0</v>
      </c>
      <c r="AC6" s="19">
        <v>0.0</v>
      </c>
      <c r="AD6" s="13"/>
      <c r="AE6" s="13"/>
      <c r="AF6" s="13"/>
      <c r="AG6" s="14"/>
      <c r="AH6" s="14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</row>
    <row r="7" ht="15.75" customHeight="1">
      <c r="A7" s="16">
        <v>45809.0</v>
      </c>
      <c r="B7" s="17">
        <v>2025.0</v>
      </c>
      <c r="C7" s="17" t="s">
        <v>41</v>
      </c>
      <c r="D7" s="18" t="s">
        <v>42</v>
      </c>
      <c r="E7" s="18" t="s">
        <v>43</v>
      </c>
      <c r="F7" s="18" t="s">
        <v>31</v>
      </c>
      <c r="G7" s="18">
        <v>1.0</v>
      </c>
      <c r="H7" s="18" t="s">
        <v>36</v>
      </c>
      <c r="I7" s="19">
        <v>7341.13</v>
      </c>
      <c r="J7" s="19">
        <v>1640.0</v>
      </c>
      <c r="K7" s="19">
        <v>2611.75</v>
      </c>
      <c r="L7" s="19">
        <v>0.0</v>
      </c>
      <c r="M7" s="19">
        <v>4326.04</v>
      </c>
      <c r="N7" s="19">
        <v>0.0</v>
      </c>
      <c r="O7" s="19">
        <v>5739.49</v>
      </c>
      <c r="P7" s="19">
        <v>968.0</v>
      </c>
      <c r="Q7" s="19">
        <v>0.0</v>
      </c>
      <c r="R7" s="20">
        <f t="shared" si="1"/>
        <v>22626.41</v>
      </c>
      <c r="S7" s="19">
        <f t="shared" si="2"/>
        <v>866.6166667</v>
      </c>
      <c r="T7" s="19">
        <f t="shared" si="3"/>
        <v>2055.52</v>
      </c>
      <c r="U7" s="19">
        <v>0.0</v>
      </c>
      <c r="V7" s="19">
        <v>0.0</v>
      </c>
      <c r="W7" s="20">
        <f t="shared" si="4"/>
        <v>2922.136667</v>
      </c>
      <c r="X7" s="21">
        <f t="shared" si="5"/>
        <v>25548.54667</v>
      </c>
      <c r="Y7" s="22">
        <f t="shared" si="6"/>
        <v>116.1297576</v>
      </c>
      <c r="Z7" s="19">
        <v>519.97</v>
      </c>
      <c r="AA7" s="19">
        <v>1027.76</v>
      </c>
      <c r="AB7" s="19">
        <v>0.0</v>
      </c>
      <c r="AC7" s="19">
        <v>0.0</v>
      </c>
      <c r="AD7" s="13"/>
      <c r="AE7" s="13"/>
      <c r="AF7" s="13"/>
      <c r="AG7" s="14"/>
      <c r="AH7" s="14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</row>
    <row r="8" ht="15.75" customHeight="1">
      <c r="A8" s="25">
        <v>45809.0</v>
      </c>
      <c r="B8" s="24">
        <v>2025.0</v>
      </c>
      <c r="C8" s="24" t="s">
        <v>44</v>
      </c>
      <c r="D8" s="18" t="s">
        <v>42</v>
      </c>
      <c r="E8" s="18"/>
      <c r="F8" s="18" t="s">
        <v>31</v>
      </c>
      <c r="G8" s="18">
        <v>1.0</v>
      </c>
      <c r="H8" s="18" t="s">
        <v>36</v>
      </c>
      <c r="I8" s="19">
        <v>7341.13</v>
      </c>
      <c r="J8" s="19"/>
      <c r="K8" s="19">
        <v>2611.75</v>
      </c>
      <c r="L8" s="19">
        <v>0.0</v>
      </c>
      <c r="M8" s="19">
        <v>3679.4</v>
      </c>
      <c r="N8" s="19">
        <v>0.0</v>
      </c>
      <c r="O8" s="19">
        <v>0.0</v>
      </c>
      <c r="P8" s="19">
        <v>968.0</v>
      </c>
      <c r="Q8" s="19">
        <v>0.0</v>
      </c>
      <c r="R8" s="20">
        <f t="shared" si="1"/>
        <v>14600.28</v>
      </c>
      <c r="S8" s="19">
        <f t="shared" si="2"/>
        <v>497.65</v>
      </c>
      <c r="T8" s="19">
        <f t="shared" si="3"/>
        <v>2055.52</v>
      </c>
      <c r="U8" s="19">
        <v>0.0</v>
      </c>
      <c r="V8" s="19">
        <v>0.0</v>
      </c>
      <c r="W8" s="20">
        <f t="shared" si="4"/>
        <v>2553.17</v>
      </c>
      <c r="X8" s="21">
        <f t="shared" si="5"/>
        <v>17153.45</v>
      </c>
      <c r="Y8" s="22">
        <f t="shared" si="6"/>
        <v>77.97022727</v>
      </c>
      <c r="Z8" s="19">
        <v>298.59</v>
      </c>
      <c r="AA8" s="19">
        <v>1027.76</v>
      </c>
      <c r="AB8" s="19">
        <v>0.0</v>
      </c>
      <c r="AC8" s="19">
        <v>0.0</v>
      </c>
      <c r="AD8" s="13"/>
      <c r="AE8" s="13"/>
      <c r="AF8" s="13"/>
      <c r="AG8" s="14"/>
      <c r="AH8" s="14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</row>
    <row r="9" ht="15.75" customHeight="1">
      <c r="A9" s="16">
        <v>45809.0</v>
      </c>
      <c r="B9" s="17">
        <v>2025.0</v>
      </c>
      <c r="C9" s="17" t="s">
        <v>45</v>
      </c>
      <c r="D9" s="18" t="s">
        <v>46</v>
      </c>
      <c r="E9" s="18" t="s">
        <v>47</v>
      </c>
      <c r="F9" s="18" t="s">
        <v>31</v>
      </c>
      <c r="G9" s="18">
        <v>1.0</v>
      </c>
      <c r="H9" s="18" t="s">
        <v>38</v>
      </c>
      <c r="I9" s="19">
        <v>7341.13</v>
      </c>
      <c r="J9" s="19">
        <v>1250.0</v>
      </c>
      <c r="K9" s="19">
        <v>2611.75</v>
      </c>
      <c r="L9" s="19">
        <v>0.0</v>
      </c>
      <c r="M9" s="19">
        <v>4184.67</v>
      </c>
      <c r="N9" s="19">
        <v>0.0</v>
      </c>
      <c r="O9" s="19">
        <v>0.0</v>
      </c>
      <c r="P9" s="19">
        <v>968.0</v>
      </c>
      <c r="Q9" s="19">
        <v>0.0</v>
      </c>
      <c r="R9" s="20">
        <f t="shared" si="1"/>
        <v>16355.55</v>
      </c>
      <c r="S9" s="19">
        <f t="shared" si="2"/>
        <v>0</v>
      </c>
      <c r="T9" s="19">
        <f t="shared" si="3"/>
        <v>2055.52</v>
      </c>
      <c r="U9" s="19">
        <v>0.0</v>
      </c>
      <c r="V9" s="19">
        <v>0.0</v>
      </c>
      <c r="W9" s="20">
        <f t="shared" si="4"/>
        <v>2055.52</v>
      </c>
      <c r="X9" s="21">
        <f t="shared" si="5"/>
        <v>18411.07</v>
      </c>
      <c r="Y9" s="22">
        <f t="shared" si="6"/>
        <v>83.68668182</v>
      </c>
      <c r="Z9" s="19">
        <v>0.0</v>
      </c>
      <c r="AA9" s="19">
        <v>1027.76</v>
      </c>
      <c r="AB9" s="19">
        <v>0.0</v>
      </c>
      <c r="AC9" s="19">
        <v>0.0</v>
      </c>
      <c r="AD9" s="13"/>
      <c r="AE9" s="13"/>
      <c r="AF9" s="13"/>
      <c r="AG9" s="14"/>
      <c r="AH9" s="14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</row>
    <row r="10" ht="15.75" customHeight="1">
      <c r="A10" s="25">
        <v>45809.0</v>
      </c>
      <c r="B10" s="24">
        <v>2025.0</v>
      </c>
      <c r="C10" s="24" t="s">
        <v>48</v>
      </c>
      <c r="D10" s="18" t="s">
        <v>35</v>
      </c>
      <c r="E10" s="18"/>
      <c r="F10" s="18" t="s">
        <v>31</v>
      </c>
      <c r="G10" s="18">
        <v>1.0</v>
      </c>
      <c r="H10" s="18" t="s">
        <v>40</v>
      </c>
      <c r="I10" s="19">
        <v>5138.79</v>
      </c>
      <c r="J10" s="19"/>
      <c r="K10" s="19">
        <v>0.0</v>
      </c>
      <c r="L10" s="19">
        <v>0.0</v>
      </c>
      <c r="M10" s="19">
        <v>0.0</v>
      </c>
      <c r="N10" s="19">
        <v>0.0</v>
      </c>
      <c r="O10" s="19">
        <v>0.0</v>
      </c>
      <c r="P10" s="19">
        <v>677.6</v>
      </c>
      <c r="Q10" s="19">
        <v>0.0</v>
      </c>
      <c r="R10" s="20">
        <f t="shared" si="1"/>
        <v>5816.39</v>
      </c>
      <c r="S10" s="19">
        <f t="shared" si="2"/>
        <v>256.9333333</v>
      </c>
      <c r="T10" s="19">
        <f t="shared" si="3"/>
        <v>1438.86</v>
      </c>
      <c r="U10" s="19">
        <v>0.0</v>
      </c>
      <c r="V10" s="19">
        <v>0.0</v>
      </c>
      <c r="W10" s="20">
        <f t="shared" si="4"/>
        <v>1695.793333</v>
      </c>
      <c r="X10" s="21">
        <f t="shared" si="5"/>
        <v>7512.183333</v>
      </c>
      <c r="Y10" s="22">
        <f t="shared" si="6"/>
        <v>34.14628788</v>
      </c>
      <c r="Z10" s="19">
        <v>154.16</v>
      </c>
      <c r="AA10" s="19">
        <v>719.43</v>
      </c>
      <c r="AB10" s="19">
        <v>0.0</v>
      </c>
      <c r="AC10" s="19">
        <v>0.0</v>
      </c>
      <c r="AD10" s="13"/>
      <c r="AE10" s="13"/>
      <c r="AF10" s="13"/>
      <c r="AG10" s="14"/>
      <c r="AH10" s="14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</row>
    <row r="11" ht="15.75" customHeight="1">
      <c r="A11" s="16">
        <v>45809.0</v>
      </c>
      <c r="B11" s="17">
        <v>2025.0</v>
      </c>
      <c r="C11" s="17" t="s">
        <v>49</v>
      </c>
      <c r="D11" s="18" t="s">
        <v>50</v>
      </c>
      <c r="E11" s="18" t="s">
        <v>51</v>
      </c>
      <c r="F11" s="18" t="s">
        <v>52</v>
      </c>
      <c r="G11" s="18">
        <v>1.0</v>
      </c>
      <c r="H11" s="18" t="s">
        <v>40</v>
      </c>
      <c r="I11" s="19">
        <v>3811.75</v>
      </c>
      <c r="J11" s="19">
        <v>1640.0</v>
      </c>
      <c r="K11" s="19">
        <v>1764.7</v>
      </c>
      <c r="L11" s="19">
        <v>0.0</v>
      </c>
      <c r="M11" s="19">
        <v>2880.02</v>
      </c>
      <c r="N11" s="19">
        <v>0.0</v>
      </c>
      <c r="O11" s="19">
        <v>3569.74</v>
      </c>
      <c r="P11" s="19">
        <v>968.0</v>
      </c>
      <c r="Q11" s="19">
        <v>0.0</v>
      </c>
      <c r="R11" s="20">
        <f t="shared" si="1"/>
        <v>14634.21</v>
      </c>
      <c r="S11" s="19">
        <f t="shared" si="2"/>
        <v>539.3166667</v>
      </c>
      <c r="T11" s="19">
        <f t="shared" si="3"/>
        <v>1067.3</v>
      </c>
      <c r="U11" s="19">
        <v>0.0</v>
      </c>
      <c r="V11" s="19">
        <v>0.0</v>
      </c>
      <c r="W11" s="20">
        <f t="shared" si="4"/>
        <v>1606.616667</v>
      </c>
      <c r="X11" s="21">
        <f t="shared" si="5"/>
        <v>16240.82667</v>
      </c>
      <c r="Y11" s="22">
        <f t="shared" si="6"/>
        <v>73.82193939</v>
      </c>
      <c r="Z11" s="19">
        <v>323.59</v>
      </c>
      <c r="AA11" s="19">
        <v>533.65</v>
      </c>
      <c r="AB11" s="19">
        <v>0.0</v>
      </c>
      <c r="AC11" s="19">
        <v>0.0</v>
      </c>
      <c r="AD11" s="13"/>
      <c r="AE11" s="13"/>
      <c r="AF11" s="13"/>
      <c r="AG11" s="14"/>
      <c r="AH11" s="14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</row>
    <row r="12" ht="15.75" customHeight="1">
      <c r="A12" s="25">
        <v>45809.0</v>
      </c>
      <c r="B12" s="24">
        <v>2025.0</v>
      </c>
      <c r="C12" s="24" t="s">
        <v>53</v>
      </c>
      <c r="D12" s="18" t="s">
        <v>50</v>
      </c>
      <c r="E12" s="18"/>
      <c r="F12" s="18" t="s">
        <v>52</v>
      </c>
      <c r="G12" s="18">
        <v>1.0</v>
      </c>
      <c r="H12" s="18" t="s">
        <v>40</v>
      </c>
      <c r="I12" s="19">
        <v>3811.75</v>
      </c>
      <c r="J12" s="19"/>
      <c r="K12" s="19">
        <v>1764.7</v>
      </c>
      <c r="L12" s="19">
        <v>0.0</v>
      </c>
      <c r="M12" s="19">
        <v>2285.52</v>
      </c>
      <c r="N12" s="19">
        <v>0.0</v>
      </c>
      <c r="O12" s="19">
        <v>0.0</v>
      </c>
      <c r="P12" s="19">
        <v>968.0</v>
      </c>
      <c r="Q12" s="19">
        <v>0.0</v>
      </c>
      <c r="R12" s="20">
        <f t="shared" si="1"/>
        <v>8829.97</v>
      </c>
      <c r="S12" s="19">
        <f t="shared" si="2"/>
        <v>278.8166667</v>
      </c>
      <c r="T12" s="19">
        <f t="shared" si="3"/>
        <v>1067.3</v>
      </c>
      <c r="U12" s="19">
        <v>0.0</v>
      </c>
      <c r="V12" s="19">
        <v>0.0</v>
      </c>
      <c r="W12" s="20">
        <f t="shared" si="4"/>
        <v>1346.116667</v>
      </c>
      <c r="X12" s="21">
        <f t="shared" si="5"/>
        <v>10176.08667</v>
      </c>
      <c r="Y12" s="22">
        <f t="shared" si="6"/>
        <v>46.25493939</v>
      </c>
      <c r="Z12" s="19">
        <v>167.29</v>
      </c>
      <c r="AA12" s="19">
        <v>533.65</v>
      </c>
      <c r="AB12" s="19">
        <v>0.0</v>
      </c>
      <c r="AC12" s="19">
        <v>0.0</v>
      </c>
      <c r="AD12" s="13"/>
      <c r="AE12" s="13"/>
      <c r="AF12" s="13"/>
      <c r="AG12" s="14"/>
      <c r="AH12" s="14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</row>
    <row r="13" ht="15.75" customHeight="1">
      <c r="A13" s="16">
        <v>45809.0</v>
      </c>
      <c r="B13" s="17">
        <v>2025.0</v>
      </c>
      <c r="C13" s="17" t="s">
        <v>54</v>
      </c>
      <c r="D13" s="18" t="s">
        <v>50</v>
      </c>
      <c r="E13" s="18"/>
      <c r="F13" s="18" t="s">
        <v>52</v>
      </c>
      <c r="G13" s="18">
        <v>1.0</v>
      </c>
      <c r="H13" s="18" t="s">
        <v>40</v>
      </c>
      <c r="I13" s="19">
        <v>3811.75</v>
      </c>
      <c r="J13" s="19"/>
      <c r="K13" s="19">
        <v>1764.7</v>
      </c>
      <c r="L13" s="19">
        <v>0.0</v>
      </c>
      <c r="M13" s="19">
        <v>2285.52</v>
      </c>
      <c r="N13" s="19">
        <v>0.0</v>
      </c>
      <c r="O13" s="19">
        <v>0.0</v>
      </c>
      <c r="P13" s="19">
        <v>968.0</v>
      </c>
      <c r="Q13" s="19">
        <v>-55.76</v>
      </c>
      <c r="R13" s="20">
        <f t="shared" si="1"/>
        <v>8774.21</v>
      </c>
      <c r="S13" s="19">
        <f t="shared" si="2"/>
        <v>276.0333333</v>
      </c>
      <c r="T13" s="19">
        <f t="shared" si="3"/>
        <v>1051.68</v>
      </c>
      <c r="U13" s="19">
        <v>0.0</v>
      </c>
      <c r="V13" s="19">
        <v>0.0</v>
      </c>
      <c r="W13" s="20">
        <f t="shared" si="4"/>
        <v>1327.713333</v>
      </c>
      <c r="X13" s="21">
        <f t="shared" si="5"/>
        <v>10101.92333</v>
      </c>
      <c r="Y13" s="22">
        <f t="shared" si="6"/>
        <v>45.91783333</v>
      </c>
      <c r="Z13" s="19">
        <v>165.62</v>
      </c>
      <c r="AA13" s="19">
        <v>525.84</v>
      </c>
      <c r="AB13" s="19">
        <v>0.0</v>
      </c>
      <c r="AC13" s="19">
        <v>0.0</v>
      </c>
      <c r="AD13" s="13"/>
      <c r="AE13" s="13"/>
      <c r="AF13" s="13"/>
      <c r="AG13" s="14"/>
      <c r="AH13" s="14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</row>
    <row r="14" ht="15.75" customHeight="1">
      <c r="A14" s="25">
        <v>45809.0</v>
      </c>
      <c r="B14" s="24">
        <v>2025.0</v>
      </c>
      <c r="C14" s="24" t="s">
        <v>55</v>
      </c>
      <c r="D14" s="18" t="s">
        <v>50</v>
      </c>
      <c r="E14" s="18"/>
      <c r="F14" s="18" t="s">
        <v>52</v>
      </c>
      <c r="G14" s="18">
        <v>1.0</v>
      </c>
      <c r="H14" s="18" t="s">
        <v>40</v>
      </c>
      <c r="I14" s="19">
        <v>3811.75</v>
      </c>
      <c r="J14" s="19"/>
      <c r="K14" s="19">
        <v>1764.7</v>
      </c>
      <c r="L14" s="19">
        <v>0.0</v>
      </c>
      <c r="M14" s="19">
        <v>2285.52</v>
      </c>
      <c r="N14" s="19">
        <v>0.0</v>
      </c>
      <c r="O14" s="19">
        <v>0.0</v>
      </c>
      <c r="P14" s="19">
        <v>968.0</v>
      </c>
      <c r="Q14" s="19">
        <v>-27.88</v>
      </c>
      <c r="R14" s="20">
        <f t="shared" si="1"/>
        <v>8802.09</v>
      </c>
      <c r="S14" s="19">
        <f t="shared" si="2"/>
        <v>277.4333333</v>
      </c>
      <c r="T14" s="19">
        <f t="shared" si="3"/>
        <v>1059.48</v>
      </c>
      <c r="U14" s="19">
        <v>0.0</v>
      </c>
      <c r="V14" s="19">
        <v>0.0</v>
      </c>
      <c r="W14" s="20">
        <f t="shared" si="4"/>
        <v>1336.913333</v>
      </c>
      <c r="X14" s="21">
        <f t="shared" si="5"/>
        <v>10139.00333</v>
      </c>
      <c r="Y14" s="22">
        <f t="shared" si="6"/>
        <v>46.08637879</v>
      </c>
      <c r="Z14" s="19">
        <v>166.46</v>
      </c>
      <c r="AA14" s="19">
        <v>529.74</v>
      </c>
      <c r="AB14" s="19">
        <v>0.0</v>
      </c>
      <c r="AC14" s="19">
        <v>0.0</v>
      </c>
      <c r="AD14" s="13"/>
      <c r="AE14" s="13"/>
      <c r="AF14" s="13"/>
      <c r="AG14" s="14"/>
      <c r="AH14" s="14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</row>
    <row r="15" ht="15.75" customHeight="1">
      <c r="A15" s="16">
        <v>45809.0</v>
      </c>
      <c r="B15" s="17">
        <v>2025.0</v>
      </c>
      <c r="C15" s="17" t="s">
        <v>56</v>
      </c>
      <c r="D15" s="18" t="s">
        <v>50</v>
      </c>
      <c r="E15" s="18"/>
      <c r="F15" s="18" t="s">
        <v>52</v>
      </c>
      <c r="G15" s="18">
        <v>1.0</v>
      </c>
      <c r="H15" s="18" t="s">
        <v>40</v>
      </c>
      <c r="I15" s="19">
        <v>3811.75</v>
      </c>
      <c r="J15" s="19"/>
      <c r="K15" s="19">
        <v>1764.7</v>
      </c>
      <c r="L15" s="19">
        <v>0.0</v>
      </c>
      <c r="M15" s="19">
        <v>2285.52</v>
      </c>
      <c r="N15" s="19">
        <v>0.0</v>
      </c>
      <c r="O15" s="19">
        <v>0.0</v>
      </c>
      <c r="P15" s="19">
        <v>968.0</v>
      </c>
      <c r="Q15" s="19">
        <v>0.0</v>
      </c>
      <c r="R15" s="20">
        <f t="shared" si="1"/>
        <v>8829.97</v>
      </c>
      <c r="S15" s="19">
        <f t="shared" si="2"/>
        <v>278.8166667</v>
      </c>
      <c r="T15" s="19">
        <f t="shared" si="3"/>
        <v>1067.3</v>
      </c>
      <c r="U15" s="19">
        <v>0.0</v>
      </c>
      <c r="V15" s="19">
        <v>0.0</v>
      </c>
      <c r="W15" s="20">
        <f t="shared" si="4"/>
        <v>1346.116667</v>
      </c>
      <c r="X15" s="21">
        <f t="shared" si="5"/>
        <v>10176.08667</v>
      </c>
      <c r="Y15" s="22">
        <f t="shared" si="6"/>
        <v>46.25493939</v>
      </c>
      <c r="Z15" s="19">
        <v>167.29</v>
      </c>
      <c r="AA15" s="19">
        <v>533.65</v>
      </c>
      <c r="AB15" s="19">
        <v>0.0</v>
      </c>
      <c r="AC15" s="19">
        <v>0.0</v>
      </c>
      <c r="AD15" s="13"/>
      <c r="AE15" s="13"/>
      <c r="AF15" s="13"/>
      <c r="AG15" s="14"/>
      <c r="AH15" s="14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</row>
    <row r="16" ht="15.75" customHeight="1">
      <c r="A16" s="25">
        <v>45809.0</v>
      </c>
      <c r="B16" s="24">
        <v>2025.0</v>
      </c>
      <c r="C16" s="24" t="s">
        <v>57</v>
      </c>
      <c r="D16" s="18" t="s">
        <v>50</v>
      </c>
      <c r="E16" s="18"/>
      <c r="F16" s="18" t="s">
        <v>52</v>
      </c>
      <c r="G16" s="18">
        <v>1.0</v>
      </c>
      <c r="H16" s="18" t="s">
        <v>32</v>
      </c>
      <c r="I16" s="19">
        <v>3811.75</v>
      </c>
      <c r="J16" s="19"/>
      <c r="K16" s="19">
        <v>1764.7</v>
      </c>
      <c r="L16" s="19">
        <v>0.0</v>
      </c>
      <c r="M16" s="19">
        <v>2285.52</v>
      </c>
      <c r="N16" s="19">
        <v>0.0</v>
      </c>
      <c r="O16" s="19">
        <v>0.0</v>
      </c>
      <c r="P16" s="19">
        <v>968.0</v>
      </c>
      <c r="Q16" s="19">
        <v>-418.23</v>
      </c>
      <c r="R16" s="20">
        <f t="shared" si="1"/>
        <v>8411.74</v>
      </c>
      <c r="S16" s="19">
        <f t="shared" si="2"/>
        <v>257.9166667</v>
      </c>
      <c r="T16" s="19">
        <f t="shared" si="3"/>
        <v>950.18</v>
      </c>
      <c r="U16" s="19">
        <v>0.0</v>
      </c>
      <c r="V16" s="19">
        <v>0.0</v>
      </c>
      <c r="W16" s="20">
        <f t="shared" si="4"/>
        <v>1208.096667</v>
      </c>
      <c r="X16" s="21">
        <f t="shared" si="5"/>
        <v>9619.836667</v>
      </c>
      <c r="Y16" s="22">
        <f t="shared" si="6"/>
        <v>43.7265303</v>
      </c>
      <c r="Z16" s="19">
        <v>154.75</v>
      </c>
      <c r="AA16" s="19">
        <v>475.09</v>
      </c>
      <c r="AB16" s="19">
        <v>0.0</v>
      </c>
      <c r="AC16" s="19">
        <v>0.0</v>
      </c>
      <c r="AD16" s="13"/>
      <c r="AE16" s="13"/>
      <c r="AF16" s="13"/>
      <c r="AG16" s="14"/>
      <c r="AH16" s="14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</row>
    <row r="17" ht="15.75" customHeight="1">
      <c r="A17" s="16">
        <v>45809.0</v>
      </c>
      <c r="B17" s="17">
        <v>2025.0</v>
      </c>
      <c r="C17" s="17" t="s">
        <v>58</v>
      </c>
      <c r="D17" s="18" t="s">
        <v>50</v>
      </c>
      <c r="E17" s="18"/>
      <c r="F17" s="18" t="s">
        <v>52</v>
      </c>
      <c r="G17" s="18">
        <v>1.0</v>
      </c>
      <c r="H17" s="18" t="s">
        <v>32</v>
      </c>
      <c r="I17" s="19">
        <v>3811.75</v>
      </c>
      <c r="J17" s="19"/>
      <c r="K17" s="19">
        <v>1764.7</v>
      </c>
      <c r="L17" s="19">
        <v>0.0</v>
      </c>
      <c r="M17" s="19">
        <v>2285.52</v>
      </c>
      <c r="N17" s="19">
        <v>0.0</v>
      </c>
      <c r="O17" s="19">
        <v>0.0</v>
      </c>
      <c r="P17" s="19">
        <v>968.0</v>
      </c>
      <c r="Q17" s="19">
        <v>-55.76</v>
      </c>
      <c r="R17" s="20">
        <f t="shared" si="1"/>
        <v>8774.21</v>
      </c>
      <c r="S17" s="19">
        <f t="shared" si="2"/>
        <v>276.0333333</v>
      </c>
      <c r="T17" s="19">
        <f t="shared" si="3"/>
        <v>1051.68</v>
      </c>
      <c r="U17" s="19">
        <v>0.0</v>
      </c>
      <c r="V17" s="19">
        <v>0.0</v>
      </c>
      <c r="W17" s="20">
        <f t="shared" si="4"/>
        <v>1327.713333</v>
      </c>
      <c r="X17" s="21">
        <f t="shared" si="5"/>
        <v>10101.92333</v>
      </c>
      <c r="Y17" s="22">
        <f t="shared" si="6"/>
        <v>45.91783333</v>
      </c>
      <c r="Z17" s="19">
        <v>165.62</v>
      </c>
      <c r="AA17" s="19">
        <v>525.84</v>
      </c>
      <c r="AB17" s="19">
        <v>0.0</v>
      </c>
      <c r="AC17" s="19">
        <v>0.0</v>
      </c>
      <c r="AD17" s="13"/>
      <c r="AE17" s="13"/>
      <c r="AF17" s="13"/>
      <c r="AG17" s="14"/>
      <c r="AH17" s="14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</row>
    <row r="18" ht="15.75" customHeight="1">
      <c r="A18" s="25">
        <v>45809.0</v>
      </c>
      <c r="B18" s="24">
        <v>2025.0</v>
      </c>
      <c r="C18" s="24" t="s">
        <v>59</v>
      </c>
      <c r="D18" s="18" t="s">
        <v>50</v>
      </c>
      <c r="E18" s="18"/>
      <c r="F18" s="18" t="s">
        <v>52</v>
      </c>
      <c r="G18" s="18">
        <v>1.0</v>
      </c>
      <c r="H18" s="18" t="s">
        <v>36</v>
      </c>
      <c r="I18" s="19">
        <v>2032.93</v>
      </c>
      <c r="J18" s="19"/>
      <c r="K18" s="19">
        <v>705.88</v>
      </c>
      <c r="L18" s="19">
        <v>967.65</v>
      </c>
      <c r="M18" s="19"/>
      <c r="N18" s="19">
        <v>0.0</v>
      </c>
      <c r="O18" s="19">
        <v>1429.41</v>
      </c>
      <c r="P18" s="19">
        <v>516.27</v>
      </c>
      <c r="Q18" s="19">
        <v>0.0</v>
      </c>
      <c r="R18" s="20">
        <f t="shared" si="1"/>
        <v>5652.14</v>
      </c>
      <c r="S18" s="19">
        <f t="shared" si="2"/>
        <v>136.9333333</v>
      </c>
      <c r="T18" s="19">
        <f t="shared" si="3"/>
        <v>836.04</v>
      </c>
      <c r="U18" s="19">
        <v>0.0</v>
      </c>
      <c r="V18" s="19">
        <v>0.0</v>
      </c>
      <c r="W18" s="20">
        <f t="shared" si="4"/>
        <v>972.9733333</v>
      </c>
      <c r="X18" s="21">
        <f t="shared" si="5"/>
        <v>6625.113333</v>
      </c>
      <c r="Y18" s="22">
        <f t="shared" si="6"/>
        <v>30.11415152</v>
      </c>
      <c r="Z18" s="19">
        <v>82.16</v>
      </c>
      <c r="AA18" s="19">
        <v>418.02</v>
      </c>
      <c r="AB18" s="19">
        <v>0.0</v>
      </c>
      <c r="AC18" s="19">
        <v>0.0</v>
      </c>
      <c r="AD18" s="13"/>
      <c r="AE18" s="13"/>
      <c r="AF18" s="13"/>
      <c r="AG18" s="14"/>
      <c r="AH18" s="14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</row>
    <row r="19" ht="15.75" customHeight="1">
      <c r="A19" s="16">
        <v>45809.0</v>
      </c>
      <c r="B19" s="17">
        <v>2025.0</v>
      </c>
      <c r="C19" s="17" t="s">
        <v>60</v>
      </c>
      <c r="D19" s="18" t="s">
        <v>50</v>
      </c>
      <c r="E19" s="18" t="s">
        <v>61</v>
      </c>
      <c r="F19" s="18" t="s">
        <v>52</v>
      </c>
      <c r="G19" s="18">
        <v>1.0</v>
      </c>
      <c r="H19" s="18" t="s">
        <v>36</v>
      </c>
      <c r="I19" s="19">
        <v>3811.75</v>
      </c>
      <c r="J19" s="19">
        <v>1250.0</v>
      </c>
      <c r="K19" s="19">
        <v>1764.7</v>
      </c>
      <c r="L19" s="19">
        <v>0.0</v>
      </c>
      <c r="M19" s="19">
        <v>2806.74</v>
      </c>
      <c r="N19" s="19">
        <v>0.0</v>
      </c>
      <c r="O19" s="19">
        <v>0.0</v>
      </c>
      <c r="P19" s="19">
        <v>968.0</v>
      </c>
      <c r="Q19" s="19">
        <v>0.0</v>
      </c>
      <c r="R19" s="20">
        <f t="shared" si="1"/>
        <v>10601.19</v>
      </c>
      <c r="S19" s="19">
        <f t="shared" si="2"/>
        <v>341.3166667</v>
      </c>
      <c r="T19" s="19">
        <f t="shared" si="3"/>
        <v>1067.3</v>
      </c>
      <c r="U19" s="19">
        <v>0.0</v>
      </c>
      <c r="V19" s="19">
        <v>0.0</v>
      </c>
      <c r="W19" s="20">
        <f t="shared" si="4"/>
        <v>1408.616667</v>
      </c>
      <c r="X19" s="21">
        <f t="shared" si="5"/>
        <v>12009.80667</v>
      </c>
      <c r="Y19" s="22">
        <f t="shared" si="6"/>
        <v>54.5900303</v>
      </c>
      <c r="Z19" s="19">
        <v>204.79</v>
      </c>
      <c r="AA19" s="19">
        <v>533.65</v>
      </c>
      <c r="AB19" s="19">
        <v>0.0</v>
      </c>
      <c r="AC19" s="19">
        <v>0.0</v>
      </c>
      <c r="AD19" s="13"/>
      <c r="AE19" s="13"/>
      <c r="AF19" s="13"/>
      <c r="AG19" s="14"/>
      <c r="AH19" s="14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</row>
    <row r="20" ht="15.75" customHeight="1">
      <c r="A20" s="25">
        <v>45809.0</v>
      </c>
      <c r="B20" s="24">
        <v>2025.0</v>
      </c>
      <c r="C20" s="24" t="s">
        <v>62</v>
      </c>
      <c r="D20" s="18" t="s">
        <v>50</v>
      </c>
      <c r="E20" s="18" t="s">
        <v>63</v>
      </c>
      <c r="F20" s="18" t="s">
        <v>52</v>
      </c>
      <c r="G20" s="18">
        <v>1.0</v>
      </c>
      <c r="H20" s="18" t="s">
        <v>38</v>
      </c>
      <c r="I20" s="19">
        <v>3811.75</v>
      </c>
      <c r="J20" s="19">
        <v>4622.4</v>
      </c>
      <c r="K20" s="19">
        <v>1764.7</v>
      </c>
      <c r="L20" s="19">
        <v>0.0</v>
      </c>
      <c r="M20" s="19">
        <v>3942.87</v>
      </c>
      <c r="N20" s="19">
        <v>0.0</v>
      </c>
      <c r="O20" s="19">
        <v>0.0</v>
      </c>
      <c r="P20" s="19">
        <v>968.0</v>
      </c>
      <c r="Q20" s="19">
        <v>0.0</v>
      </c>
      <c r="R20" s="20">
        <f t="shared" si="1"/>
        <v>15109.72</v>
      </c>
      <c r="S20" s="19">
        <f t="shared" si="2"/>
        <v>0</v>
      </c>
      <c r="T20" s="19">
        <f t="shared" si="3"/>
        <v>1067.3</v>
      </c>
      <c r="U20" s="19">
        <v>0.0</v>
      </c>
      <c r="V20" s="19">
        <v>0.0</v>
      </c>
      <c r="W20" s="20">
        <f t="shared" si="4"/>
        <v>1067.3</v>
      </c>
      <c r="X20" s="21">
        <f t="shared" si="5"/>
        <v>16177.02</v>
      </c>
      <c r="Y20" s="22">
        <f t="shared" si="6"/>
        <v>73.53190909</v>
      </c>
      <c r="Z20" s="19">
        <v>0.0</v>
      </c>
      <c r="AA20" s="19">
        <v>533.65</v>
      </c>
      <c r="AB20" s="19">
        <v>0.0</v>
      </c>
      <c r="AC20" s="19">
        <v>0.0</v>
      </c>
      <c r="AD20" s="13"/>
      <c r="AE20" s="13"/>
      <c r="AF20" s="13"/>
      <c r="AG20" s="14"/>
      <c r="AH20" s="14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</row>
    <row r="21" ht="15.75" customHeight="1">
      <c r="A21" s="16">
        <v>45809.0</v>
      </c>
      <c r="B21" s="17">
        <v>2025.0</v>
      </c>
      <c r="C21" s="17" t="s">
        <v>48</v>
      </c>
      <c r="D21" s="18" t="s">
        <v>50</v>
      </c>
      <c r="E21" s="18"/>
      <c r="F21" s="18" t="s">
        <v>52</v>
      </c>
      <c r="G21" s="18">
        <v>1.0</v>
      </c>
      <c r="H21" s="18" t="s">
        <v>36</v>
      </c>
      <c r="I21" s="19">
        <v>1143.53</v>
      </c>
      <c r="J21" s="19"/>
      <c r="K21" s="19">
        <v>529.41</v>
      </c>
      <c r="L21" s="19">
        <v>1000.73</v>
      </c>
      <c r="M21" s="19">
        <v>0.0</v>
      </c>
      <c r="N21" s="19">
        <v>0.0</v>
      </c>
      <c r="O21" s="19">
        <v>1147.79</v>
      </c>
      <c r="P21" s="19">
        <v>290.4</v>
      </c>
      <c r="Q21" s="19">
        <v>0.0</v>
      </c>
      <c r="R21" s="20">
        <f t="shared" si="1"/>
        <v>4111.86</v>
      </c>
      <c r="S21" s="19">
        <f t="shared" si="2"/>
        <v>83.65</v>
      </c>
      <c r="T21" s="19">
        <f t="shared" si="3"/>
        <v>587</v>
      </c>
      <c r="U21" s="19">
        <v>0.0</v>
      </c>
      <c r="V21" s="19">
        <v>0.0</v>
      </c>
      <c r="W21" s="20">
        <f t="shared" si="4"/>
        <v>670.65</v>
      </c>
      <c r="X21" s="21">
        <f t="shared" si="5"/>
        <v>4782.51</v>
      </c>
      <c r="Y21" s="22">
        <f t="shared" si="6"/>
        <v>21.73868182</v>
      </c>
      <c r="Z21" s="19">
        <v>50.19</v>
      </c>
      <c r="AA21" s="19">
        <v>293.5</v>
      </c>
      <c r="AB21" s="19">
        <v>0.0</v>
      </c>
      <c r="AC21" s="19">
        <v>0.0</v>
      </c>
      <c r="AD21" s="13"/>
      <c r="AE21" s="13"/>
      <c r="AF21" s="13"/>
      <c r="AG21" s="14"/>
      <c r="AH21" s="14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</row>
    <row r="22" ht="15.75" customHeight="1">
      <c r="A22" s="25">
        <v>45809.0</v>
      </c>
      <c r="B22" s="24">
        <v>2025.0</v>
      </c>
      <c r="C22" s="24" t="s">
        <v>64</v>
      </c>
      <c r="D22" s="18" t="s">
        <v>65</v>
      </c>
      <c r="E22" s="18"/>
      <c r="F22" s="18" t="s">
        <v>66</v>
      </c>
      <c r="G22" s="18">
        <v>1.0</v>
      </c>
      <c r="H22" s="18" t="s">
        <v>40</v>
      </c>
      <c r="I22" s="19">
        <v>2499.97</v>
      </c>
      <c r="J22" s="19"/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20">
        <f t="shared" si="1"/>
        <v>2499.97</v>
      </c>
      <c r="S22" s="19">
        <f t="shared" si="2"/>
        <v>0</v>
      </c>
      <c r="T22" s="19">
        <f t="shared" si="3"/>
        <v>0</v>
      </c>
      <c r="U22" s="19">
        <v>0.0</v>
      </c>
      <c r="V22" s="19">
        <v>0.0</v>
      </c>
      <c r="W22" s="20">
        <f t="shared" si="4"/>
        <v>0</v>
      </c>
      <c r="X22" s="21">
        <f t="shared" si="5"/>
        <v>2499.97</v>
      </c>
      <c r="Y22" s="22">
        <f t="shared" si="6"/>
        <v>11.3635</v>
      </c>
      <c r="Z22" s="19">
        <v>0.0</v>
      </c>
      <c r="AA22" s="19"/>
      <c r="AB22" s="19">
        <v>0.0</v>
      </c>
      <c r="AC22" s="19">
        <v>0.0</v>
      </c>
      <c r="AD22" s="13"/>
      <c r="AE22" s="13"/>
      <c r="AF22" s="13"/>
      <c r="AG22" s="14"/>
      <c r="AH22" s="14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</row>
    <row r="23" ht="15.75" customHeight="1">
      <c r="A23" s="16">
        <v>45809.0</v>
      </c>
      <c r="B23" s="17">
        <v>2025.0</v>
      </c>
      <c r="C23" s="17" t="s">
        <v>49</v>
      </c>
      <c r="D23" s="18" t="s">
        <v>65</v>
      </c>
      <c r="E23" s="18"/>
      <c r="F23" s="18" t="s">
        <v>66</v>
      </c>
      <c r="G23" s="18">
        <v>1.0</v>
      </c>
      <c r="H23" s="18" t="s">
        <v>36</v>
      </c>
      <c r="I23" s="19">
        <v>3149.14</v>
      </c>
      <c r="J23" s="19"/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20">
        <f t="shared" si="1"/>
        <v>3149.14</v>
      </c>
      <c r="S23" s="19">
        <f t="shared" si="2"/>
        <v>0</v>
      </c>
      <c r="T23" s="19">
        <f t="shared" si="3"/>
        <v>0</v>
      </c>
      <c r="U23" s="19">
        <v>0.0</v>
      </c>
      <c r="V23" s="19">
        <v>0.0</v>
      </c>
      <c r="W23" s="20">
        <f t="shared" si="4"/>
        <v>0</v>
      </c>
      <c r="X23" s="21">
        <f t="shared" si="5"/>
        <v>3149.14</v>
      </c>
      <c r="Y23" s="22">
        <f t="shared" si="6"/>
        <v>14.31427273</v>
      </c>
      <c r="Z23" s="19">
        <v>0.0</v>
      </c>
      <c r="AA23" s="19"/>
      <c r="AB23" s="19">
        <v>0.0</v>
      </c>
      <c r="AC23" s="19">
        <v>0.0</v>
      </c>
      <c r="AD23" s="13"/>
      <c r="AE23" s="13"/>
      <c r="AF23" s="13"/>
      <c r="AG23" s="14"/>
      <c r="AH23" s="14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</row>
    <row r="24" ht="15.75" customHeight="1">
      <c r="A24" s="25">
        <v>45809.0</v>
      </c>
      <c r="B24" s="24">
        <v>2025.0</v>
      </c>
      <c r="C24" s="24" t="s">
        <v>67</v>
      </c>
      <c r="D24" s="18" t="s">
        <v>65</v>
      </c>
      <c r="E24" s="18"/>
      <c r="F24" s="18" t="s">
        <v>66</v>
      </c>
      <c r="G24" s="18">
        <v>1.0</v>
      </c>
      <c r="H24" s="18" t="s">
        <v>32</v>
      </c>
      <c r="I24" s="19">
        <v>2468.47</v>
      </c>
      <c r="J24" s="19"/>
      <c r="K24" s="19">
        <v>0.0</v>
      </c>
      <c r="L24" s="19">
        <v>0.0</v>
      </c>
      <c r="M24" s="19">
        <v>0.0</v>
      </c>
      <c r="N24" s="19">
        <v>0.0</v>
      </c>
      <c r="O24" s="19">
        <v>0.0</v>
      </c>
      <c r="P24" s="19">
        <v>0.0</v>
      </c>
      <c r="Q24" s="19">
        <v>0.0</v>
      </c>
      <c r="R24" s="20">
        <f t="shared" si="1"/>
        <v>2468.47</v>
      </c>
      <c r="S24" s="19">
        <f t="shared" si="2"/>
        <v>0</v>
      </c>
      <c r="T24" s="19">
        <f t="shared" si="3"/>
        <v>0</v>
      </c>
      <c r="U24" s="19">
        <v>0.0</v>
      </c>
      <c r="V24" s="19">
        <v>0.0</v>
      </c>
      <c r="W24" s="20">
        <f t="shared" si="4"/>
        <v>0</v>
      </c>
      <c r="X24" s="21">
        <f t="shared" si="5"/>
        <v>2468.47</v>
      </c>
      <c r="Y24" s="22">
        <f t="shared" si="6"/>
        <v>11.22031818</v>
      </c>
      <c r="Z24" s="19">
        <v>0.0</v>
      </c>
      <c r="AA24" s="19"/>
      <c r="AB24" s="19">
        <v>0.0</v>
      </c>
      <c r="AC24" s="19">
        <v>0.0</v>
      </c>
      <c r="AD24" s="13"/>
      <c r="AE24" s="13"/>
      <c r="AF24" s="13"/>
      <c r="AG24" s="14"/>
      <c r="AH24" s="14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</row>
    <row r="25" ht="15.75" customHeight="1">
      <c r="A25" s="16">
        <v>45809.0</v>
      </c>
      <c r="B25" s="17">
        <v>2025.0</v>
      </c>
      <c r="C25" s="17" t="s">
        <v>68</v>
      </c>
      <c r="D25" s="18" t="s">
        <v>65</v>
      </c>
      <c r="E25" s="18"/>
      <c r="F25" s="18" t="s">
        <v>66</v>
      </c>
      <c r="G25" s="18">
        <v>1.0</v>
      </c>
      <c r="H25" s="18" t="s">
        <v>32</v>
      </c>
      <c r="I25" s="19">
        <v>2468.47</v>
      </c>
      <c r="J25" s="19"/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9">
        <v>0.0</v>
      </c>
      <c r="Q25" s="19">
        <v>0.0</v>
      </c>
      <c r="R25" s="20">
        <f t="shared" si="1"/>
        <v>2468.47</v>
      </c>
      <c r="S25" s="19">
        <f t="shared" si="2"/>
        <v>0</v>
      </c>
      <c r="T25" s="19">
        <f t="shared" si="3"/>
        <v>0</v>
      </c>
      <c r="U25" s="19">
        <v>0.0</v>
      </c>
      <c r="V25" s="19">
        <v>0.0</v>
      </c>
      <c r="W25" s="20">
        <f t="shared" si="4"/>
        <v>0</v>
      </c>
      <c r="X25" s="21">
        <f t="shared" si="5"/>
        <v>2468.47</v>
      </c>
      <c r="Y25" s="22">
        <f t="shared" si="6"/>
        <v>11.22031818</v>
      </c>
      <c r="Z25" s="19">
        <v>0.0</v>
      </c>
      <c r="AA25" s="19"/>
      <c r="AB25" s="19">
        <v>0.0</v>
      </c>
      <c r="AC25" s="19">
        <v>0.0</v>
      </c>
      <c r="AD25" s="13"/>
      <c r="AE25" s="13"/>
      <c r="AF25" s="13"/>
      <c r="AG25" s="14"/>
      <c r="AH25" s="14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</row>
    <row r="26" ht="15.75" customHeight="1">
      <c r="A26" s="25">
        <v>45809.0</v>
      </c>
      <c r="B26" s="24">
        <v>2025.0</v>
      </c>
      <c r="C26" s="24" t="s">
        <v>69</v>
      </c>
      <c r="D26" s="18" t="s">
        <v>65</v>
      </c>
      <c r="E26" s="18"/>
      <c r="F26" s="18" t="s">
        <v>66</v>
      </c>
      <c r="G26" s="18">
        <v>1.0</v>
      </c>
      <c r="H26" s="18" t="s">
        <v>36</v>
      </c>
      <c r="I26" s="19">
        <v>2487.47</v>
      </c>
      <c r="J26" s="19"/>
      <c r="K26" s="19">
        <v>0.0</v>
      </c>
      <c r="L26" s="19">
        <v>0.0</v>
      </c>
      <c r="M26" s="19">
        <v>0.0</v>
      </c>
      <c r="N26" s="19">
        <v>0.0</v>
      </c>
      <c r="O26" s="19">
        <v>0.0</v>
      </c>
      <c r="P26" s="19">
        <v>0.0</v>
      </c>
      <c r="Q26" s="19">
        <v>0.0</v>
      </c>
      <c r="R26" s="20">
        <f t="shared" si="1"/>
        <v>2487.47</v>
      </c>
      <c r="S26" s="19">
        <f t="shared" si="2"/>
        <v>0</v>
      </c>
      <c r="T26" s="19">
        <f t="shared" si="3"/>
        <v>0</v>
      </c>
      <c r="U26" s="19">
        <v>0.0</v>
      </c>
      <c r="V26" s="19">
        <v>0.0</v>
      </c>
      <c r="W26" s="20">
        <f t="shared" si="4"/>
        <v>0</v>
      </c>
      <c r="X26" s="21">
        <f t="shared" si="5"/>
        <v>2487.47</v>
      </c>
      <c r="Y26" s="22">
        <f t="shared" si="6"/>
        <v>11.30668182</v>
      </c>
      <c r="Z26" s="19">
        <v>0.0</v>
      </c>
      <c r="AA26" s="19"/>
      <c r="AB26" s="19">
        <v>0.0</v>
      </c>
      <c r="AC26" s="19">
        <v>0.0</v>
      </c>
      <c r="AD26" s="13"/>
      <c r="AE26" s="13"/>
      <c r="AF26" s="13"/>
      <c r="AG26" s="14"/>
      <c r="AH26" s="14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</row>
    <row r="27" ht="15.75" customHeight="1">
      <c r="A27" s="16">
        <v>45809.0</v>
      </c>
      <c r="B27" s="17">
        <v>2025.0</v>
      </c>
      <c r="C27" s="17" t="s">
        <v>70</v>
      </c>
      <c r="D27" s="18" t="s">
        <v>65</v>
      </c>
      <c r="E27" s="18"/>
      <c r="F27" s="18" t="s">
        <v>66</v>
      </c>
      <c r="G27" s="18">
        <v>1.0</v>
      </c>
      <c r="H27" s="18" t="s">
        <v>36</v>
      </c>
      <c r="I27" s="19">
        <v>3369.72</v>
      </c>
      <c r="J27" s="19"/>
      <c r="K27" s="19">
        <v>0.0</v>
      </c>
      <c r="L27" s="19">
        <v>0.0</v>
      </c>
      <c r="M27" s="19">
        <v>0.0</v>
      </c>
      <c r="N27" s="19">
        <v>0.0</v>
      </c>
      <c r="O27" s="19">
        <v>0.0</v>
      </c>
      <c r="P27" s="19">
        <v>0.0</v>
      </c>
      <c r="Q27" s="19">
        <v>0.0</v>
      </c>
      <c r="R27" s="20">
        <f t="shared" si="1"/>
        <v>3369.72</v>
      </c>
      <c r="S27" s="19">
        <f t="shared" si="2"/>
        <v>0</v>
      </c>
      <c r="T27" s="19">
        <f t="shared" si="3"/>
        <v>0</v>
      </c>
      <c r="U27" s="19">
        <v>0.0</v>
      </c>
      <c r="V27" s="19">
        <v>0.0</v>
      </c>
      <c r="W27" s="20">
        <f t="shared" si="4"/>
        <v>0</v>
      </c>
      <c r="X27" s="21">
        <f t="shared" si="5"/>
        <v>3369.72</v>
      </c>
      <c r="Y27" s="22">
        <f t="shared" si="6"/>
        <v>15.31690909</v>
      </c>
      <c r="Z27" s="19">
        <v>0.0</v>
      </c>
      <c r="AA27" s="19"/>
      <c r="AB27" s="19">
        <v>0.0</v>
      </c>
      <c r="AC27" s="19">
        <v>0.0</v>
      </c>
      <c r="AD27" s="13"/>
      <c r="AE27" s="13"/>
      <c r="AF27" s="13"/>
      <c r="AG27" s="14"/>
      <c r="AH27" s="14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</row>
    <row r="28" ht="15.75" customHeight="1">
      <c r="A28" s="25">
        <v>45809.0</v>
      </c>
      <c r="B28" s="24">
        <v>2025.0</v>
      </c>
      <c r="C28" s="24" t="s">
        <v>71</v>
      </c>
      <c r="D28" s="18" t="s">
        <v>72</v>
      </c>
      <c r="E28" s="18"/>
      <c r="F28" s="18" t="s">
        <v>73</v>
      </c>
      <c r="G28" s="18">
        <v>1.0</v>
      </c>
      <c r="H28" s="18" t="s">
        <v>38</v>
      </c>
      <c r="I28" s="19">
        <v>27704.52</v>
      </c>
      <c r="J28" s="19"/>
      <c r="K28" s="19">
        <v>0.0</v>
      </c>
      <c r="L28" s="19">
        <v>0.0</v>
      </c>
      <c r="M28" s="19">
        <v>9495.64</v>
      </c>
      <c r="N28" s="19">
        <v>0.0</v>
      </c>
      <c r="O28" s="19">
        <v>0.0</v>
      </c>
      <c r="P28" s="19">
        <v>968.0</v>
      </c>
      <c r="Q28" s="19">
        <v>0.0</v>
      </c>
      <c r="R28" s="20">
        <f t="shared" si="1"/>
        <v>38168.16</v>
      </c>
      <c r="S28" s="19">
        <f t="shared" si="2"/>
        <v>1385.233333</v>
      </c>
      <c r="T28" s="19">
        <f t="shared" si="3"/>
        <v>5526.18</v>
      </c>
      <c r="U28" s="19">
        <v>0.0</v>
      </c>
      <c r="V28" s="19">
        <v>0.0</v>
      </c>
      <c r="W28" s="20">
        <f t="shared" si="4"/>
        <v>6911.413333</v>
      </c>
      <c r="X28" s="21">
        <f t="shared" si="5"/>
        <v>45079.57333</v>
      </c>
      <c r="Y28" s="22">
        <f t="shared" si="6"/>
        <v>204.9071515</v>
      </c>
      <c r="Z28" s="19">
        <v>831.14</v>
      </c>
      <c r="AA28" s="19">
        <v>2763.09</v>
      </c>
      <c r="AB28" s="19">
        <v>0.0</v>
      </c>
      <c r="AC28" s="19">
        <v>0.0</v>
      </c>
      <c r="AD28" s="13"/>
      <c r="AE28" s="13"/>
      <c r="AF28" s="13"/>
      <c r="AG28" s="14"/>
      <c r="AH28" s="14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</row>
    <row r="29" ht="15.75" customHeight="1">
      <c r="A29" s="16">
        <v>45809.0</v>
      </c>
      <c r="B29" s="17">
        <v>2025.0</v>
      </c>
      <c r="C29" s="17" t="s">
        <v>74</v>
      </c>
      <c r="D29" s="18" t="s">
        <v>75</v>
      </c>
      <c r="E29" s="18"/>
      <c r="F29" s="18" t="s">
        <v>76</v>
      </c>
      <c r="G29" s="18">
        <v>1.0</v>
      </c>
      <c r="H29" s="18" t="s">
        <v>36</v>
      </c>
      <c r="I29" s="19">
        <v>17530.0</v>
      </c>
      <c r="J29" s="19"/>
      <c r="K29" s="19">
        <v>0.0</v>
      </c>
      <c r="L29" s="19">
        <v>0.0</v>
      </c>
      <c r="M29" s="19">
        <v>6516.17</v>
      </c>
      <c r="N29" s="19">
        <v>0.0</v>
      </c>
      <c r="O29" s="19">
        <v>0.0</v>
      </c>
      <c r="P29" s="19">
        <v>968.0</v>
      </c>
      <c r="Q29" s="19">
        <v>0.0</v>
      </c>
      <c r="R29" s="20">
        <f t="shared" si="1"/>
        <v>25014.17</v>
      </c>
      <c r="S29" s="19">
        <f t="shared" si="2"/>
        <v>876.5</v>
      </c>
      <c r="T29" s="19">
        <f t="shared" si="3"/>
        <v>0</v>
      </c>
      <c r="U29" s="19">
        <f t="shared" ref="U29:U30" si="7">I29*0.21</f>
        <v>3681.3</v>
      </c>
      <c r="V29" s="19">
        <v>0.0</v>
      </c>
      <c r="W29" s="20">
        <f t="shared" si="4"/>
        <v>4557.8</v>
      </c>
      <c r="X29" s="21">
        <f t="shared" si="5"/>
        <v>29571.97</v>
      </c>
      <c r="Y29" s="22">
        <f t="shared" si="6"/>
        <v>134.4180455</v>
      </c>
      <c r="Z29" s="19">
        <v>525.9</v>
      </c>
      <c r="AA29" s="19">
        <v>0.0</v>
      </c>
      <c r="AB29" s="19">
        <v>951.62</v>
      </c>
      <c r="AC29" s="19">
        <v>0.0</v>
      </c>
      <c r="AD29" s="13"/>
      <c r="AE29" s="13"/>
      <c r="AF29" s="13"/>
      <c r="AG29" s="14"/>
      <c r="AH29" s="14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</row>
    <row r="30" ht="15.75" customHeight="1">
      <c r="A30" s="25">
        <v>45809.0</v>
      </c>
      <c r="B30" s="24">
        <v>2025.0</v>
      </c>
      <c r="C30" s="24" t="s">
        <v>77</v>
      </c>
      <c r="D30" s="18" t="s">
        <v>75</v>
      </c>
      <c r="E30" s="18"/>
      <c r="F30" s="18" t="s">
        <v>76</v>
      </c>
      <c r="G30" s="18">
        <v>1.0</v>
      </c>
      <c r="H30" s="18" t="s">
        <v>40</v>
      </c>
      <c r="I30" s="19">
        <v>17530.0</v>
      </c>
      <c r="J30" s="19"/>
      <c r="K30" s="19">
        <v>0.0</v>
      </c>
      <c r="L30" s="19">
        <v>0.0</v>
      </c>
      <c r="M30" s="19">
        <v>6464.03</v>
      </c>
      <c r="N30" s="19">
        <v>0.0</v>
      </c>
      <c r="O30" s="19">
        <v>0.0</v>
      </c>
      <c r="P30" s="19">
        <v>968.0</v>
      </c>
      <c r="Q30" s="19">
        <v>0.0</v>
      </c>
      <c r="R30" s="20">
        <f t="shared" si="1"/>
        <v>24962.03</v>
      </c>
      <c r="S30" s="19">
        <f t="shared" si="2"/>
        <v>876.5</v>
      </c>
      <c r="T30" s="19">
        <f t="shared" si="3"/>
        <v>0</v>
      </c>
      <c r="U30" s="19">
        <f t="shared" si="7"/>
        <v>3681.3</v>
      </c>
      <c r="V30" s="19">
        <v>0.0</v>
      </c>
      <c r="W30" s="20">
        <f t="shared" si="4"/>
        <v>4557.8</v>
      </c>
      <c r="X30" s="21">
        <f t="shared" si="5"/>
        <v>29519.83</v>
      </c>
      <c r="Y30" s="22">
        <f t="shared" si="6"/>
        <v>134.1810455</v>
      </c>
      <c r="Z30" s="19">
        <v>525.9</v>
      </c>
      <c r="AA30" s="19">
        <v>0.0</v>
      </c>
      <c r="AB30" s="19">
        <v>951.62</v>
      </c>
      <c r="AC30" s="19">
        <v>0.0</v>
      </c>
      <c r="AD30" s="13"/>
      <c r="AE30" s="13"/>
      <c r="AF30" s="13"/>
      <c r="AG30" s="14"/>
      <c r="AH30" s="14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</row>
    <row r="31" ht="15.75" customHeight="1">
      <c r="A31" s="16">
        <v>45809.0</v>
      </c>
      <c r="B31" s="17">
        <v>2025.0</v>
      </c>
      <c r="C31" s="17" t="s">
        <v>78</v>
      </c>
      <c r="D31" s="18" t="s">
        <v>75</v>
      </c>
      <c r="E31" s="18"/>
      <c r="F31" s="18" t="s">
        <v>76</v>
      </c>
      <c r="G31" s="18">
        <v>1.0</v>
      </c>
      <c r="H31" s="18" t="s">
        <v>32</v>
      </c>
      <c r="I31" s="19">
        <v>17530.0</v>
      </c>
      <c r="J31" s="19"/>
      <c r="K31" s="19">
        <v>0.0</v>
      </c>
      <c r="L31" s="19">
        <v>0.0</v>
      </c>
      <c r="M31" s="19">
        <v>6892.48</v>
      </c>
      <c r="N31" s="19">
        <v>0.0</v>
      </c>
      <c r="O31" s="19">
        <v>0.0</v>
      </c>
      <c r="P31" s="19">
        <v>968.0</v>
      </c>
      <c r="Q31" s="19">
        <v>0.0</v>
      </c>
      <c r="R31" s="20">
        <f t="shared" si="1"/>
        <v>25390.48</v>
      </c>
      <c r="S31" s="19">
        <f t="shared" si="2"/>
        <v>0</v>
      </c>
      <c r="T31" s="19">
        <f t="shared" si="3"/>
        <v>2134.5</v>
      </c>
      <c r="U31" s="19">
        <v>0.0</v>
      </c>
      <c r="V31" s="19">
        <v>0.0</v>
      </c>
      <c r="W31" s="20">
        <f t="shared" si="4"/>
        <v>2134.5</v>
      </c>
      <c r="X31" s="21">
        <f t="shared" si="5"/>
        <v>27524.98</v>
      </c>
      <c r="Y31" s="22">
        <f t="shared" si="6"/>
        <v>125.1135455</v>
      </c>
      <c r="Z31" s="19">
        <v>0.0</v>
      </c>
      <c r="AA31" s="19">
        <v>1067.25</v>
      </c>
      <c r="AB31" s="19">
        <v>0.0</v>
      </c>
      <c r="AC31" s="19">
        <v>0.0</v>
      </c>
      <c r="AD31" s="13"/>
      <c r="AE31" s="13"/>
      <c r="AF31" s="13"/>
      <c r="AG31" s="14"/>
      <c r="AH31" s="14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</row>
    <row r="32" ht="15.75" customHeight="1">
      <c r="A32" s="25">
        <v>45809.0</v>
      </c>
      <c r="B32" s="24">
        <v>2025.0</v>
      </c>
      <c r="C32" s="24" t="s">
        <v>79</v>
      </c>
      <c r="D32" s="18" t="s">
        <v>80</v>
      </c>
      <c r="E32" s="18"/>
      <c r="F32" s="18" t="s">
        <v>81</v>
      </c>
      <c r="G32" s="18">
        <v>1.0</v>
      </c>
      <c r="H32" s="18" t="s">
        <v>36</v>
      </c>
      <c r="I32" s="19">
        <v>7750.0</v>
      </c>
      <c r="J32" s="19"/>
      <c r="K32" s="19">
        <v>0.0</v>
      </c>
      <c r="L32" s="19">
        <v>0.0</v>
      </c>
      <c r="M32" s="19">
        <v>2939.46</v>
      </c>
      <c r="N32" s="19">
        <v>0.0</v>
      </c>
      <c r="O32" s="19">
        <v>0.0</v>
      </c>
      <c r="P32" s="19">
        <v>968.0</v>
      </c>
      <c r="Q32" s="19">
        <v>0.0</v>
      </c>
      <c r="R32" s="20">
        <f t="shared" si="1"/>
        <v>11657.46</v>
      </c>
      <c r="S32" s="19">
        <f t="shared" si="2"/>
        <v>387.5</v>
      </c>
      <c r="T32" s="19">
        <f t="shared" si="3"/>
        <v>0</v>
      </c>
      <c r="U32" s="19">
        <f>I32*0.21</f>
        <v>1627.5</v>
      </c>
      <c r="V32" s="19">
        <v>0.0</v>
      </c>
      <c r="W32" s="20">
        <f t="shared" si="4"/>
        <v>2015</v>
      </c>
      <c r="X32" s="21">
        <f t="shared" si="5"/>
        <v>13672.46</v>
      </c>
      <c r="Y32" s="22">
        <f t="shared" si="6"/>
        <v>62.14754545</v>
      </c>
      <c r="Z32" s="19">
        <v>232.5</v>
      </c>
      <c r="AA32" s="19">
        <v>0.0</v>
      </c>
      <c r="AB32" s="19">
        <v>894.58</v>
      </c>
      <c r="AC32" s="19">
        <v>0.0</v>
      </c>
      <c r="AD32" s="13"/>
      <c r="AE32" s="13"/>
      <c r="AF32" s="13"/>
      <c r="AG32" s="14"/>
      <c r="AH32" s="14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</row>
    <row r="33" ht="15.75" customHeight="1">
      <c r="A33" s="16">
        <v>45809.0</v>
      </c>
      <c r="B33" s="17">
        <v>2025.0</v>
      </c>
      <c r="C33" s="17" t="s">
        <v>82</v>
      </c>
      <c r="D33" s="18" t="s">
        <v>80</v>
      </c>
      <c r="E33" s="18"/>
      <c r="F33" s="18" t="s">
        <v>81</v>
      </c>
      <c r="G33" s="18">
        <v>1.0</v>
      </c>
      <c r="H33" s="18" t="s">
        <v>40</v>
      </c>
      <c r="I33" s="19">
        <v>7750.0</v>
      </c>
      <c r="J33" s="19"/>
      <c r="K33" s="19">
        <v>0.0</v>
      </c>
      <c r="L33" s="19">
        <v>0.0</v>
      </c>
      <c r="M33" s="19">
        <v>3125.92</v>
      </c>
      <c r="N33" s="19">
        <v>0.0</v>
      </c>
      <c r="O33" s="19">
        <v>0.0</v>
      </c>
      <c r="P33" s="19">
        <v>968.0</v>
      </c>
      <c r="Q33" s="19">
        <v>0.0</v>
      </c>
      <c r="R33" s="20">
        <f t="shared" si="1"/>
        <v>11843.92</v>
      </c>
      <c r="S33" s="19">
        <f t="shared" si="2"/>
        <v>387.5</v>
      </c>
      <c r="T33" s="19">
        <f t="shared" si="3"/>
        <v>0</v>
      </c>
      <c r="U33" s="19">
        <v>0.0</v>
      </c>
      <c r="V33" s="19">
        <f>935.78</f>
        <v>935.78</v>
      </c>
      <c r="W33" s="20">
        <f t="shared" si="4"/>
        <v>1323.28</v>
      </c>
      <c r="X33" s="21">
        <f t="shared" si="5"/>
        <v>13167.2</v>
      </c>
      <c r="Y33" s="22">
        <f t="shared" si="6"/>
        <v>59.85090909</v>
      </c>
      <c r="Z33" s="19">
        <v>232.5</v>
      </c>
      <c r="AA33" s="19">
        <v>0.0</v>
      </c>
      <c r="AB33" s="19">
        <v>0.0</v>
      </c>
      <c r="AC33" s="19">
        <v>524.04</v>
      </c>
      <c r="AD33" s="13"/>
      <c r="AE33" s="13"/>
      <c r="AF33" s="13"/>
      <c r="AG33" s="14"/>
      <c r="AH33" s="14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</row>
    <row r="34" ht="15.75" customHeight="1">
      <c r="A34" s="25">
        <v>45809.0</v>
      </c>
      <c r="B34" s="24">
        <v>2025.0</v>
      </c>
      <c r="C34" s="24" t="s">
        <v>83</v>
      </c>
      <c r="D34" s="18" t="s">
        <v>80</v>
      </c>
      <c r="E34" s="18"/>
      <c r="F34" s="18" t="s">
        <v>81</v>
      </c>
      <c r="G34" s="18">
        <v>1.0</v>
      </c>
      <c r="H34" s="18" t="s">
        <v>32</v>
      </c>
      <c r="I34" s="19">
        <v>7750.0</v>
      </c>
      <c r="J34" s="19"/>
      <c r="K34" s="19">
        <v>0.0</v>
      </c>
      <c r="L34" s="19">
        <v>0.0</v>
      </c>
      <c r="M34" s="19">
        <v>2965.53</v>
      </c>
      <c r="N34" s="19">
        <v>0.0</v>
      </c>
      <c r="O34" s="19">
        <v>0.0</v>
      </c>
      <c r="P34" s="19">
        <v>968.0</v>
      </c>
      <c r="Q34" s="19">
        <v>0.0</v>
      </c>
      <c r="R34" s="20">
        <f t="shared" si="1"/>
        <v>11683.53</v>
      </c>
      <c r="S34" s="19">
        <f t="shared" si="2"/>
        <v>387.5</v>
      </c>
      <c r="T34" s="19">
        <f t="shared" si="3"/>
        <v>0</v>
      </c>
      <c r="U34" s="19">
        <f>I34*0.21</f>
        <v>1627.5</v>
      </c>
      <c r="V34" s="19">
        <v>0.0</v>
      </c>
      <c r="W34" s="20">
        <f t="shared" si="4"/>
        <v>2015</v>
      </c>
      <c r="X34" s="21">
        <f t="shared" si="5"/>
        <v>13698.53</v>
      </c>
      <c r="Y34" s="22">
        <f t="shared" si="6"/>
        <v>62.26604545</v>
      </c>
      <c r="Z34" s="19">
        <v>232.5</v>
      </c>
      <c r="AA34" s="19">
        <v>0.0</v>
      </c>
      <c r="AB34" s="19">
        <v>894.58</v>
      </c>
      <c r="AC34" s="19">
        <v>0.0</v>
      </c>
      <c r="AD34" s="13"/>
      <c r="AE34" s="13"/>
      <c r="AF34" s="13"/>
      <c r="AG34" s="14"/>
      <c r="AH34" s="14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</row>
    <row r="35" ht="15.75" customHeight="1">
      <c r="A35" s="16">
        <v>45809.0</v>
      </c>
      <c r="B35" s="17">
        <v>2025.0</v>
      </c>
      <c r="C35" s="17" t="s">
        <v>84</v>
      </c>
      <c r="D35" s="18" t="s">
        <v>85</v>
      </c>
      <c r="E35" s="18" t="s">
        <v>86</v>
      </c>
      <c r="F35" s="18" t="s">
        <v>87</v>
      </c>
      <c r="G35" s="18">
        <v>1.0</v>
      </c>
      <c r="H35" s="18" t="s">
        <v>36</v>
      </c>
      <c r="I35" s="19">
        <v>0.0</v>
      </c>
      <c r="J35" s="19">
        <v>1640.0</v>
      </c>
      <c r="K35" s="19">
        <v>1764.7</v>
      </c>
      <c r="L35" s="19">
        <v>0.0</v>
      </c>
      <c r="M35" s="19">
        <v>1679.63</v>
      </c>
      <c r="N35" s="19">
        <v>0.0</v>
      </c>
      <c r="O35" s="19">
        <v>0.0</v>
      </c>
      <c r="P35" s="19">
        <v>0.0</v>
      </c>
      <c r="Q35" s="19">
        <v>0.0</v>
      </c>
      <c r="R35" s="20">
        <f t="shared" ref="R35:R39" si="8">SUM(J35:Q35)</f>
        <v>5084.33</v>
      </c>
      <c r="S35" s="19">
        <f t="shared" si="2"/>
        <v>170.2333333</v>
      </c>
      <c r="T35" s="19">
        <f t="shared" si="3"/>
        <v>0</v>
      </c>
      <c r="U35" s="19">
        <v>0.0</v>
      </c>
      <c r="V35" s="19">
        <v>0.0</v>
      </c>
      <c r="W35" s="20">
        <f t="shared" si="4"/>
        <v>170.2333333</v>
      </c>
      <c r="X35" s="21">
        <f t="shared" si="5"/>
        <v>5254.563333</v>
      </c>
      <c r="Y35" s="22">
        <f t="shared" si="6"/>
        <v>23.88437879</v>
      </c>
      <c r="Z35" s="19">
        <v>102.14</v>
      </c>
      <c r="AA35" s="19">
        <v>0.0</v>
      </c>
      <c r="AB35" s="19">
        <v>0.0</v>
      </c>
      <c r="AC35" s="19">
        <v>0.0</v>
      </c>
      <c r="AD35" s="13"/>
      <c r="AE35" s="13"/>
      <c r="AF35" s="13"/>
      <c r="AG35" s="14"/>
      <c r="AH35" s="14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</row>
    <row r="36" ht="15.75" customHeight="1">
      <c r="A36" s="25">
        <v>45809.0</v>
      </c>
      <c r="B36" s="24">
        <v>2025.0</v>
      </c>
      <c r="C36" s="24" t="s">
        <v>88</v>
      </c>
      <c r="D36" s="18" t="s">
        <v>85</v>
      </c>
      <c r="E36" s="18" t="s">
        <v>89</v>
      </c>
      <c r="F36" s="18" t="s">
        <v>87</v>
      </c>
      <c r="G36" s="18">
        <v>1.0</v>
      </c>
      <c r="H36" s="18" t="s">
        <v>36</v>
      </c>
      <c r="I36" s="19">
        <v>0.0</v>
      </c>
      <c r="J36" s="19">
        <v>1640.0</v>
      </c>
      <c r="K36" s="19">
        <v>1764.7</v>
      </c>
      <c r="L36" s="19">
        <v>0.0</v>
      </c>
      <c r="M36" s="19">
        <v>1679.63</v>
      </c>
      <c r="N36" s="19">
        <v>0.0</v>
      </c>
      <c r="O36" s="19">
        <v>0.0</v>
      </c>
      <c r="P36" s="19">
        <v>0.0</v>
      </c>
      <c r="Q36" s="19">
        <v>0.0</v>
      </c>
      <c r="R36" s="20">
        <f t="shared" si="8"/>
        <v>5084.33</v>
      </c>
      <c r="S36" s="19">
        <f t="shared" si="2"/>
        <v>170.2333333</v>
      </c>
      <c r="T36" s="19">
        <f t="shared" si="3"/>
        <v>0</v>
      </c>
      <c r="U36" s="19">
        <v>0.0</v>
      </c>
      <c r="V36" s="19">
        <v>0.0</v>
      </c>
      <c r="W36" s="20">
        <f t="shared" si="4"/>
        <v>170.2333333</v>
      </c>
      <c r="X36" s="21">
        <f t="shared" si="5"/>
        <v>5254.563333</v>
      </c>
      <c r="Y36" s="22">
        <f t="shared" si="6"/>
        <v>23.88437879</v>
      </c>
      <c r="Z36" s="19">
        <v>102.14</v>
      </c>
      <c r="AA36" s="19">
        <v>0.0</v>
      </c>
      <c r="AB36" s="19">
        <v>0.0</v>
      </c>
      <c r="AC36" s="19">
        <v>0.0</v>
      </c>
      <c r="AD36" s="13"/>
      <c r="AE36" s="13"/>
      <c r="AF36" s="13"/>
      <c r="AG36" s="14"/>
      <c r="AH36" s="14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</row>
    <row r="37" ht="15.75" customHeight="1">
      <c r="A37" s="16">
        <v>45809.0</v>
      </c>
      <c r="B37" s="17">
        <v>2025.0</v>
      </c>
      <c r="C37" s="17" t="s">
        <v>90</v>
      </c>
      <c r="D37" s="18" t="s">
        <v>85</v>
      </c>
      <c r="E37" s="18" t="s">
        <v>91</v>
      </c>
      <c r="F37" s="18" t="s">
        <v>87</v>
      </c>
      <c r="G37" s="18">
        <v>1.0</v>
      </c>
      <c r="H37" s="18" t="s">
        <v>40</v>
      </c>
      <c r="I37" s="19">
        <v>0.0</v>
      </c>
      <c r="J37" s="19">
        <v>1640.0</v>
      </c>
      <c r="K37" s="19">
        <v>1764.7</v>
      </c>
      <c r="L37" s="19">
        <v>0.0</v>
      </c>
      <c r="M37" s="19">
        <v>1620.3</v>
      </c>
      <c r="N37" s="19">
        <v>0.0</v>
      </c>
      <c r="O37" s="19">
        <v>0.0</v>
      </c>
      <c r="P37" s="19">
        <v>0.0</v>
      </c>
      <c r="Q37" s="19">
        <v>0.0</v>
      </c>
      <c r="R37" s="20">
        <f t="shared" si="8"/>
        <v>5025</v>
      </c>
      <c r="S37" s="19">
        <f t="shared" si="2"/>
        <v>170.2333333</v>
      </c>
      <c r="T37" s="19">
        <f t="shared" si="3"/>
        <v>0</v>
      </c>
      <c r="U37" s="19">
        <v>0.0</v>
      </c>
      <c r="V37" s="19">
        <v>0.0</v>
      </c>
      <c r="W37" s="20">
        <f t="shared" si="4"/>
        <v>170.2333333</v>
      </c>
      <c r="X37" s="21">
        <f t="shared" si="5"/>
        <v>5195.233333</v>
      </c>
      <c r="Y37" s="22">
        <f t="shared" si="6"/>
        <v>23.61469697</v>
      </c>
      <c r="Z37" s="19">
        <v>102.14</v>
      </c>
      <c r="AA37" s="19">
        <v>0.0</v>
      </c>
      <c r="AB37" s="19">
        <v>0.0</v>
      </c>
      <c r="AC37" s="19">
        <v>0.0</v>
      </c>
      <c r="AD37" s="13"/>
      <c r="AE37" s="13"/>
      <c r="AF37" s="13"/>
      <c r="AG37" s="14"/>
      <c r="AH37" s="14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</row>
    <row r="38" ht="15.75" customHeight="1">
      <c r="A38" s="25">
        <v>45809.0</v>
      </c>
      <c r="B38" s="24">
        <v>2025.0</v>
      </c>
      <c r="C38" s="24" t="s">
        <v>92</v>
      </c>
      <c r="D38" s="18" t="s">
        <v>85</v>
      </c>
      <c r="E38" s="18" t="s">
        <v>93</v>
      </c>
      <c r="F38" s="18" t="s">
        <v>94</v>
      </c>
      <c r="G38" s="18">
        <v>1.0</v>
      </c>
      <c r="H38" s="18" t="s">
        <v>38</v>
      </c>
      <c r="I38" s="19">
        <v>0.0</v>
      </c>
      <c r="J38" s="19">
        <v>1070.0</v>
      </c>
      <c r="K38" s="19">
        <v>1764.7</v>
      </c>
      <c r="L38" s="19">
        <v>0.0</v>
      </c>
      <c r="M38" s="19">
        <v>1407.73</v>
      </c>
      <c r="N38" s="19">
        <v>0.0</v>
      </c>
      <c r="O38" s="19">
        <v>0.0</v>
      </c>
      <c r="P38" s="19">
        <v>0.0</v>
      </c>
      <c r="Q38" s="19">
        <v>0.0</v>
      </c>
      <c r="R38" s="20">
        <f t="shared" si="8"/>
        <v>4242.43</v>
      </c>
      <c r="S38" s="19">
        <f t="shared" si="2"/>
        <v>141.7333333</v>
      </c>
      <c r="T38" s="19">
        <f t="shared" si="3"/>
        <v>0</v>
      </c>
      <c r="U38" s="19">
        <v>0.0</v>
      </c>
      <c r="V38" s="19">
        <v>0.0</v>
      </c>
      <c r="W38" s="20">
        <f t="shared" si="4"/>
        <v>141.7333333</v>
      </c>
      <c r="X38" s="21">
        <f t="shared" si="5"/>
        <v>4384.163333</v>
      </c>
      <c r="Y38" s="22">
        <f t="shared" si="6"/>
        <v>19.92801515</v>
      </c>
      <c r="Z38" s="19">
        <v>85.04</v>
      </c>
      <c r="AA38" s="19">
        <v>0.0</v>
      </c>
      <c r="AB38" s="19">
        <v>0.0</v>
      </c>
      <c r="AC38" s="19">
        <v>0.0</v>
      </c>
      <c r="AD38" s="13"/>
      <c r="AE38" s="13"/>
      <c r="AF38" s="13"/>
      <c r="AG38" s="14"/>
      <c r="AH38" s="14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</row>
    <row r="39" ht="15.75" customHeight="1">
      <c r="A39" s="16">
        <v>45809.0</v>
      </c>
      <c r="B39" s="17">
        <v>2025.0</v>
      </c>
      <c r="C39" s="17" t="s">
        <v>95</v>
      </c>
      <c r="D39" s="18" t="s">
        <v>96</v>
      </c>
      <c r="E39" s="18"/>
      <c r="F39" s="18" t="s">
        <v>97</v>
      </c>
      <c r="G39" s="18">
        <v>1.0</v>
      </c>
      <c r="H39" s="18" t="s">
        <v>38</v>
      </c>
      <c r="I39" s="19">
        <v>0.0</v>
      </c>
      <c r="J39" s="19">
        <v>6933.6</v>
      </c>
      <c r="K39" s="19">
        <v>1764.7</v>
      </c>
      <c r="L39" s="19">
        <v>0.0</v>
      </c>
      <c r="M39" s="19">
        <v>4164.29</v>
      </c>
      <c r="N39" s="19">
        <v>0.0</v>
      </c>
      <c r="O39" s="19">
        <v>0.0</v>
      </c>
      <c r="P39" s="19">
        <v>0.0</v>
      </c>
      <c r="Q39" s="19">
        <v>0.0</v>
      </c>
      <c r="R39" s="20">
        <f t="shared" si="8"/>
        <v>12862.59</v>
      </c>
      <c r="S39" s="19">
        <f t="shared" si="2"/>
        <v>434.9166667</v>
      </c>
      <c r="T39" s="19">
        <f t="shared" si="3"/>
        <v>0</v>
      </c>
      <c r="U39" s="19">
        <v>0.0</v>
      </c>
      <c r="V39" s="19">
        <v>0.0</v>
      </c>
      <c r="W39" s="20">
        <f t="shared" si="4"/>
        <v>434.9166667</v>
      </c>
      <c r="X39" s="21">
        <f t="shared" si="5"/>
        <v>13297.50667</v>
      </c>
      <c r="Y39" s="22">
        <f t="shared" si="6"/>
        <v>60.44321212</v>
      </c>
      <c r="Z39" s="19">
        <v>260.95</v>
      </c>
      <c r="AA39" s="19">
        <v>0.0</v>
      </c>
      <c r="AB39" s="19">
        <v>0.0</v>
      </c>
      <c r="AC39" s="19">
        <v>0.0</v>
      </c>
      <c r="AD39" s="13"/>
      <c r="AE39" s="13"/>
      <c r="AF39" s="13"/>
      <c r="AG39" s="14"/>
      <c r="AH39" s="14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</row>
    <row r="40" ht="15.75" customHeight="1">
      <c r="A40" s="25">
        <v>45809.0</v>
      </c>
      <c r="B40" s="24">
        <v>2025.0</v>
      </c>
      <c r="C40" s="24" t="s">
        <v>98</v>
      </c>
      <c r="D40" s="18" t="s">
        <v>85</v>
      </c>
      <c r="E40" s="18"/>
      <c r="F40" s="18" t="s">
        <v>99</v>
      </c>
      <c r="G40" s="18">
        <v>1.0</v>
      </c>
      <c r="H40" s="18" t="s">
        <v>40</v>
      </c>
      <c r="I40" s="19">
        <v>0.0</v>
      </c>
      <c r="J40" s="19"/>
      <c r="K40" s="19">
        <v>1764.7</v>
      </c>
      <c r="L40" s="19">
        <v>0.0</v>
      </c>
      <c r="M40" s="19">
        <v>872.73</v>
      </c>
      <c r="N40" s="19">
        <v>0.0</v>
      </c>
      <c r="O40" s="19">
        <v>0.0</v>
      </c>
      <c r="P40" s="19">
        <v>0.0</v>
      </c>
      <c r="Q40" s="19">
        <v>0.0</v>
      </c>
      <c r="R40" s="20">
        <f>SUM(I40:Q40)</f>
        <v>2637.43</v>
      </c>
      <c r="S40" s="19">
        <f t="shared" si="2"/>
        <v>88.23333333</v>
      </c>
      <c r="T40" s="19">
        <f t="shared" si="3"/>
        <v>0</v>
      </c>
      <c r="U40" s="19">
        <v>0.0</v>
      </c>
      <c r="V40" s="19">
        <v>0.0</v>
      </c>
      <c r="W40" s="20">
        <f t="shared" si="4"/>
        <v>88.23333333</v>
      </c>
      <c r="X40" s="21">
        <f t="shared" si="5"/>
        <v>2725.663333</v>
      </c>
      <c r="Y40" s="22">
        <f t="shared" si="6"/>
        <v>12.38937879</v>
      </c>
      <c r="Z40" s="19">
        <v>52.94</v>
      </c>
      <c r="AA40" s="19">
        <v>0.0</v>
      </c>
      <c r="AB40" s="19">
        <v>0.0</v>
      </c>
      <c r="AC40" s="19">
        <v>0.0</v>
      </c>
      <c r="AD40" s="13"/>
      <c r="AE40" s="13"/>
      <c r="AF40" s="13"/>
      <c r="AG40" s="14"/>
      <c r="AH40" s="14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</row>
    <row r="41" ht="11.25" customHeight="1">
      <c r="A41" s="16">
        <v>45839.0</v>
      </c>
      <c r="B41" s="17">
        <v>2025.0</v>
      </c>
      <c r="C41" s="17" t="s">
        <v>29</v>
      </c>
      <c r="D41" s="18" t="s">
        <v>30</v>
      </c>
      <c r="E41" s="18"/>
      <c r="F41" s="18" t="s">
        <v>31</v>
      </c>
      <c r="G41" s="18">
        <v>1.0</v>
      </c>
      <c r="H41" s="18" t="s">
        <v>32</v>
      </c>
      <c r="I41" s="19">
        <v>7341.13</v>
      </c>
      <c r="J41" s="19"/>
      <c r="K41" s="19">
        <v>2611.75</v>
      </c>
      <c r="L41" s="19"/>
      <c r="M41" s="19"/>
      <c r="N41" s="19"/>
      <c r="O41" s="19"/>
      <c r="P41" s="19">
        <v>968.0</v>
      </c>
      <c r="Q41" s="19"/>
      <c r="R41" s="20">
        <v>10920.880000000001</v>
      </c>
      <c r="S41" s="19">
        <v>497.65000000000003</v>
      </c>
      <c r="T41" s="19">
        <v>2055.52</v>
      </c>
      <c r="U41" s="19"/>
      <c r="V41" s="19"/>
      <c r="W41" s="20">
        <v>2553.17</v>
      </c>
      <c r="X41" s="21">
        <v>13474.050000000001</v>
      </c>
      <c r="Y41" s="22">
        <v>61.24568181818182</v>
      </c>
      <c r="Z41" s="19">
        <v>298.59</v>
      </c>
      <c r="AA41" s="19">
        <v>1027.76</v>
      </c>
      <c r="AB41" s="19">
        <v>0.0</v>
      </c>
      <c r="AC41" s="19">
        <v>0.0</v>
      </c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</row>
    <row r="42" ht="11.25" customHeight="1">
      <c r="A42" s="25">
        <v>45839.0</v>
      </c>
      <c r="B42" s="24">
        <v>2025.0</v>
      </c>
      <c r="C42" s="24" t="s">
        <v>33</v>
      </c>
      <c r="D42" s="18" t="s">
        <v>30</v>
      </c>
      <c r="E42" s="18"/>
      <c r="F42" s="18" t="s">
        <v>31</v>
      </c>
      <c r="G42" s="18">
        <v>1.0</v>
      </c>
      <c r="H42" s="18" t="s">
        <v>32</v>
      </c>
      <c r="I42" s="19">
        <v>4159.97</v>
      </c>
      <c r="J42" s="19"/>
      <c r="K42" s="19">
        <v>1479.99</v>
      </c>
      <c r="L42" s="19">
        <v>5107.72</v>
      </c>
      <c r="M42" s="19">
        <v>-3731.54</v>
      </c>
      <c r="N42" s="19"/>
      <c r="O42" s="19"/>
      <c r="P42" s="19">
        <v>548.53</v>
      </c>
      <c r="Q42" s="19">
        <v>-402.92</v>
      </c>
      <c r="R42" s="20">
        <v>7161.75</v>
      </c>
      <c r="S42" s="19">
        <v>261.8500000000001</v>
      </c>
      <c r="T42" s="19">
        <v>2363.84</v>
      </c>
      <c r="U42" s="19"/>
      <c r="V42" s="19"/>
      <c r="W42" s="20">
        <v>2625.69</v>
      </c>
      <c r="X42" s="21">
        <v>9787.44</v>
      </c>
      <c r="Y42" s="22">
        <v>44.48836363636364</v>
      </c>
      <c r="Z42" s="19">
        <v>157.11</v>
      </c>
      <c r="AA42" s="19">
        <v>1181.92</v>
      </c>
      <c r="AB42" s="19">
        <v>0.0</v>
      </c>
      <c r="AC42" s="19">
        <v>0.0</v>
      </c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</row>
    <row r="43" ht="11.25" customHeight="1">
      <c r="A43" s="16">
        <v>45839.0</v>
      </c>
      <c r="B43" s="17">
        <v>2025.0</v>
      </c>
      <c r="C43" s="17" t="s">
        <v>34</v>
      </c>
      <c r="D43" s="18" t="s">
        <v>35</v>
      </c>
      <c r="E43" s="18"/>
      <c r="F43" s="18" t="s">
        <v>31</v>
      </c>
      <c r="G43" s="18">
        <v>1.0</v>
      </c>
      <c r="H43" s="18" t="s">
        <v>36</v>
      </c>
      <c r="I43" s="19">
        <v>7341.13</v>
      </c>
      <c r="J43" s="19"/>
      <c r="K43" s="19">
        <v>2611.75</v>
      </c>
      <c r="L43" s="19"/>
      <c r="M43" s="19"/>
      <c r="N43" s="19"/>
      <c r="O43" s="19">
        <v>4926.61</v>
      </c>
      <c r="P43" s="19">
        <v>968.0</v>
      </c>
      <c r="Q43" s="19"/>
      <c r="R43" s="20">
        <v>15847.490000000002</v>
      </c>
      <c r="S43" s="19">
        <v>743.9666666666667</v>
      </c>
      <c r="T43" s="19">
        <v>2055.52</v>
      </c>
      <c r="U43" s="19"/>
      <c r="V43" s="19"/>
      <c r="W43" s="20">
        <v>2799.4866666666667</v>
      </c>
      <c r="X43" s="21">
        <v>18646.97666666667</v>
      </c>
      <c r="Y43" s="22">
        <v>84.75898484848486</v>
      </c>
      <c r="Z43" s="19">
        <v>446.38</v>
      </c>
      <c r="AA43" s="19">
        <v>1027.76</v>
      </c>
      <c r="AB43" s="19">
        <v>0.0</v>
      </c>
      <c r="AC43" s="19">
        <v>0.0</v>
      </c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</row>
    <row r="44" ht="11.25" customHeight="1">
      <c r="A44" s="25">
        <v>45839.0</v>
      </c>
      <c r="B44" s="24">
        <v>2025.0</v>
      </c>
      <c r="C44" s="24" t="s">
        <v>37</v>
      </c>
      <c r="D44" s="18" t="s">
        <v>35</v>
      </c>
      <c r="E44" s="18"/>
      <c r="F44" s="18" t="s">
        <v>31</v>
      </c>
      <c r="G44" s="18">
        <v>1.0</v>
      </c>
      <c r="H44" s="18" t="s">
        <v>38</v>
      </c>
      <c r="I44" s="19">
        <v>7341.13</v>
      </c>
      <c r="J44" s="19"/>
      <c r="K44" s="19">
        <v>2611.75</v>
      </c>
      <c r="L44" s="19"/>
      <c r="M44" s="19"/>
      <c r="N44" s="19">
        <v>367.06</v>
      </c>
      <c r="O44" s="19"/>
      <c r="P44" s="19">
        <v>968.0</v>
      </c>
      <c r="Q44" s="19"/>
      <c r="R44" s="20">
        <v>11287.94</v>
      </c>
      <c r="S44" s="19">
        <v>516.0000000000001</v>
      </c>
      <c r="T44" s="19">
        <v>2158.3</v>
      </c>
      <c r="U44" s="19"/>
      <c r="V44" s="19"/>
      <c r="W44" s="20">
        <v>2674.3</v>
      </c>
      <c r="X44" s="21">
        <v>13962.240000000002</v>
      </c>
      <c r="Y44" s="22">
        <v>63.46472727272728</v>
      </c>
      <c r="Z44" s="19">
        <v>309.6</v>
      </c>
      <c r="AA44" s="19">
        <v>1079.15</v>
      </c>
      <c r="AB44" s="19">
        <v>0.0</v>
      </c>
      <c r="AC44" s="19">
        <v>0.0</v>
      </c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</row>
    <row r="45" ht="11.25" customHeight="1">
      <c r="A45" s="16">
        <v>45839.0</v>
      </c>
      <c r="B45" s="17">
        <v>2025.0</v>
      </c>
      <c r="C45" s="17" t="s">
        <v>41</v>
      </c>
      <c r="D45" s="18" t="s">
        <v>42</v>
      </c>
      <c r="E45" s="18" t="s">
        <v>43</v>
      </c>
      <c r="F45" s="18" t="s">
        <v>31</v>
      </c>
      <c r="G45" s="18">
        <v>1.0</v>
      </c>
      <c r="H45" s="18" t="s">
        <v>36</v>
      </c>
      <c r="I45" s="19">
        <v>7341.13</v>
      </c>
      <c r="J45" s="19">
        <v>1640.0</v>
      </c>
      <c r="K45" s="19">
        <v>2611.75</v>
      </c>
      <c r="L45" s="19"/>
      <c r="M45" s="19"/>
      <c r="N45" s="19"/>
      <c r="O45" s="19"/>
      <c r="P45" s="19">
        <v>968.0</v>
      </c>
      <c r="Q45" s="19"/>
      <c r="R45" s="20">
        <v>12560.880000000001</v>
      </c>
      <c r="S45" s="19">
        <v>579.6500000000001</v>
      </c>
      <c r="T45" s="19">
        <v>2055.52</v>
      </c>
      <c r="U45" s="19"/>
      <c r="V45" s="19"/>
      <c r="W45" s="20">
        <v>2635.17</v>
      </c>
      <c r="X45" s="21">
        <v>15196.050000000001</v>
      </c>
      <c r="Y45" s="22">
        <v>69.07295454545455</v>
      </c>
      <c r="Z45" s="19">
        <v>347.79</v>
      </c>
      <c r="AA45" s="19">
        <v>1027.76</v>
      </c>
      <c r="AB45" s="19">
        <v>0.0</v>
      </c>
      <c r="AC45" s="19">
        <v>0.0</v>
      </c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</row>
    <row r="46" ht="11.25" customHeight="1">
      <c r="A46" s="25">
        <v>45839.0</v>
      </c>
      <c r="B46" s="24">
        <v>2025.0</v>
      </c>
      <c r="C46" s="24" t="s">
        <v>44</v>
      </c>
      <c r="D46" s="18" t="s">
        <v>42</v>
      </c>
      <c r="E46" s="18"/>
      <c r="F46" s="18" t="s">
        <v>31</v>
      </c>
      <c r="G46" s="18">
        <v>1.0</v>
      </c>
      <c r="H46" s="18" t="s">
        <v>36</v>
      </c>
      <c r="I46" s="19">
        <v>7341.13</v>
      </c>
      <c r="J46" s="19"/>
      <c r="K46" s="19">
        <v>2611.75</v>
      </c>
      <c r="L46" s="19"/>
      <c r="M46" s="19"/>
      <c r="N46" s="19"/>
      <c r="O46" s="19"/>
      <c r="P46" s="19">
        <v>968.0</v>
      </c>
      <c r="Q46" s="19"/>
      <c r="R46" s="20">
        <v>10920.880000000001</v>
      </c>
      <c r="S46" s="19">
        <v>497.65000000000003</v>
      </c>
      <c r="T46" s="19">
        <v>2055.52</v>
      </c>
      <c r="U46" s="19"/>
      <c r="V46" s="19"/>
      <c r="W46" s="20">
        <v>2553.17</v>
      </c>
      <c r="X46" s="21">
        <v>13474.050000000001</v>
      </c>
      <c r="Y46" s="22">
        <v>61.24568181818182</v>
      </c>
      <c r="Z46" s="19">
        <v>298.59</v>
      </c>
      <c r="AA46" s="19">
        <v>1027.76</v>
      </c>
      <c r="AB46" s="19">
        <v>0.0</v>
      </c>
      <c r="AC46" s="19">
        <v>0.0</v>
      </c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</row>
    <row r="47" ht="11.25" customHeight="1">
      <c r="A47" s="16">
        <v>45839.0</v>
      </c>
      <c r="B47" s="17">
        <v>2025.0</v>
      </c>
      <c r="C47" s="17" t="s">
        <v>45</v>
      </c>
      <c r="D47" s="18" t="s">
        <v>46</v>
      </c>
      <c r="E47" s="18" t="s">
        <v>47</v>
      </c>
      <c r="F47" s="18" t="s">
        <v>31</v>
      </c>
      <c r="G47" s="18">
        <v>1.0</v>
      </c>
      <c r="H47" s="18" t="s">
        <v>38</v>
      </c>
      <c r="I47" s="19">
        <v>7341.13</v>
      </c>
      <c r="J47" s="19">
        <v>1250.0</v>
      </c>
      <c r="K47" s="19">
        <v>2611.75</v>
      </c>
      <c r="L47" s="19"/>
      <c r="M47" s="19"/>
      <c r="N47" s="19"/>
      <c r="O47" s="19"/>
      <c r="P47" s="19">
        <v>968.0</v>
      </c>
      <c r="Q47" s="19"/>
      <c r="R47" s="20">
        <v>12170.880000000001</v>
      </c>
      <c r="S47" s="19"/>
      <c r="T47" s="19">
        <v>2055.52</v>
      </c>
      <c r="U47" s="19"/>
      <c r="V47" s="19"/>
      <c r="W47" s="20">
        <v>2055.52</v>
      </c>
      <c r="X47" s="21">
        <v>14226.400000000001</v>
      </c>
      <c r="Y47" s="22">
        <v>64.66545454545455</v>
      </c>
      <c r="Z47" s="19">
        <v>0.0</v>
      </c>
      <c r="AA47" s="19">
        <v>1027.76</v>
      </c>
      <c r="AB47" s="19">
        <v>0.0</v>
      </c>
      <c r="AC47" s="19">
        <v>0.0</v>
      </c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</row>
    <row r="48" ht="11.25" customHeight="1">
      <c r="A48" s="25">
        <v>45839.0</v>
      </c>
      <c r="B48" s="24">
        <v>2025.0</v>
      </c>
      <c r="C48" s="24" t="s">
        <v>48</v>
      </c>
      <c r="D48" s="18" t="s">
        <v>35</v>
      </c>
      <c r="E48" s="18"/>
      <c r="F48" s="18" t="s">
        <v>31</v>
      </c>
      <c r="G48" s="18">
        <v>1.0</v>
      </c>
      <c r="H48" s="18" t="s">
        <v>40</v>
      </c>
      <c r="I48" s="19">
        <v>7341.13</v>
      </c>
      <c r="J48" s="19"/>
      <c r="K48" s="19"/>
      <c r="L48" s="19"/>
      <c r="M48" s="19"/>
      <c r="N48" s="19"/>
      <c r="O48" s="19"/>
      <c r="P48" s="19">
        <v>968.0</v>
      </c>
      <c r="Q48" s="19"/>
      <c r="R48" s="20">
        <v>8309.130000000001</v>
      </c>
      <c r="S48" s="19">
        <v>367.05</v>
      </c>
      <c r="T48" s="19">
        <v>2055.52</v>
      </c>
      <c r="U48" s="19"/>
      <c r="V48" s="19"/>
      <c r="W48" s="20">
        <v>2422.57</v>
      </c>
      <c r="X48" s="21">
        <v>10731.7</v>
      </c>
      <c r="Y48" s="22">
        <v>48.780454545454546</v>
      </c>
      <c r="Z48" s="19">
        <v>220.23</v>
      </c>
      <c r="AA48" s="19">
        <v>1027.76</v>
      </c>
      <c r="AB48" s="19">
        <v>0.0</v>
      </c>
      <c r="AC48" s="19">
        <v>0.0</v>
      </c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</row>
    <row r="49" ht="11.25" customHeight="1">
      <c r="A49" s="16">
        <v>45839.0</v>
      </c>
      <c r="B49" s="17">
        <v>2025.0</v>
      </c>
      <c r="C49" s="17" t="s">
        <v>49</v>
      </c>
      <c r="D49" s="18" t="s">
        <v>50</v>
      </c>
      <c r="E49" s="18" t="s">
        <v>51</v>
      </c>
      <c r="F49" s="18" t="s">
        <v>52</v>
      </c>
      <c r="G49" s="18">
        <v>1.0</v>
      </c>
      <c r="H49" s="18" t="s">
        <v>40</v>
      </c>
      <c r="I49" s="19">
        <v>3811.75</v>
      </c>
      <c r="J49" s="19">
        <v>1640.0</v>
      </c>
      <c r="K49" s="19">
        <v>1764.7</v>
      </c>
      <c r="L49" s="19"/>
      <c r="M49" s="19"/>
      <c r="N49" s="19"/>
      <c r="O49" s="19"/>
      <c r="P49" s="19">
        <v>968.0</v>
      </c>
      <c r="Q49" s="19"/>
      <c r="R49" s="20">
        <v>8184.45</v>
      </c>
      <c r="S49" s="19">
        <v>360.8166666666667</v>
      </c>
      <c r="T49" s="19">
        <v>1067.3</v>
      </c>
      <c r="U49" s="19"/>
      <c r="V49" s="19"/>
      <c r="W49" s="20">
        <v>1428.1166666666668</v>
      </c>
      <c r="X49" s="21">
        <v>9612.566666666666</v>
      </c>
      <c r="Y49" s="22">
        <v>43.69348484848484</v>
      </c>
      <c r="Z49" s="19">
        <v>216.49</v>
      </c>
      <c r="AA49" s="19">
        <v>533.65</v>
      </c>
      <c r="AB49" s="19">
        <v>0.0</v>
      </c>
      <c r="AC49" s="19">
        <v>0.0</v>
      </c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</row>
    <row r="50" ht="11.25" customHeight="1">
      <c r="A50" s="25">
        <v>45839.0</v>
      </c>
      <c r="B50" s="24">
        <v>2025.0</v>
      </c>
      <c r="C50" s="24" t="s">
        <v>53</v>
      </c>
      <c r="D50" s="18" t="s">
        <v>50</v>
      </c>
      <c r="E50" s="18"/>
      <c r="F50" s="18" t="s">
        <v>52</v>
      </c>
      <c r="G50" s="18">
        <v>1.0</v>
      </c>
      <c r="H50" s="18" t="s">
        <v>40</v>
      </c>
      <c r="I50" s="19">
        <v>3811.75</v>
      </c>
      <c r="J50" s="19"/>
      <c r="K50" s="19">
        <v>1764.7</v>
      </c>
      <c r="L50" s="19"/>
      <c r="M50" s="19"/>
      <c r="N50" s="19"/>
      <c r="O50" s="19"/>
      <c r="P50" s="19">
        <v>968.0</v>
      </c>
      <c r="Q50" s="19"/>
      <c r="R50" s="20">
        <v>6544.45</v>
      </c>
      <c r="S50" s="19">
        <v>278.81666666666666</v>
      </c>
      <c r="T50" s="19">
        <v>1067.3</v>
      </c>
      <c r="U50" s="19"/>
      <c r="V50" s="19"/>
      <c r="W50" s="20">
        <v>1346.1166666666666</v>
      </c>
      <c r="X50" s="21">
        <v>7890.566666666667</v>
      </c>
      <c r="Y50" s="22">
        <v>35.86621212121212</v>
      </c>
      <c r="Z50" s="19">
        <v>167.29</v>
      </c>
      <c r="AA50" s="19">
        <v>533.65</v>
      </c>
      <c r="AB50" s="19">
        <v>0.0</v>
      </c>
      <c r="AC50" s="19">
        <v>0.0</v>
      </c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</row>
    <row r="51" ht="11.25" customHeight="1">
      <c r="A51" s="16">
        <v>45839.0</v>
      </c>
      <c r="B51" s="17">
        <v>2025.0</v>
      </c>
      <c r="C51" s="17" t="s">
        <v>54</v>
      </c>
      <c r="D51" s="18" t="s">
        <v>50</v>
      </c>
      <c r="E51" s="18"/>
      <c r="F51" s="18" t="s">
        <v>52</v>
      </c>
      <c r="G51" s="18">
        <v>1.0</v>
      </c>
      <c r="H51" s="18" t="s">
        <v>40</v>
      </c>
      <c r="I51" s="19">
        <v>3811.75</v>
      </c>
      <c r="J51" s="19"/>
      <c r="K51" s="19">
        <v>1764.7</v>
      </c>
      <c r="L51" s="19"/>
      <c r="M51" s="19"/>
      <c r="N51" s="19"/>
      <c r="O51" s="19"/>
      <c r="P51" s="19">
        <v>968.0</v>
      </c>
      <c r="Q51" s="19">
        <v>-27.88</v>
      </c>
      <c r="R51" s="20">
        <v>6516.57</v>
      </c>
      <c r="S51" s="19">
        <v>277.43333333333334</v>
      </c>
      <c r="T51" s="19">
        <v>1059.48</v>
      </c>
      <c r="U51" s="19"/>
      <c r="V51" s="19"/>
      <c r="W51" s="20">
        <v>1336.9133333333334</v>
      </c>
      <c r="X51" s="21">
        <v>7853.483333333334</v>
      </c>
      <c r="Y51" s="22">
        <v>35.69765151515151</v>
      </c>
      <c r="Z51" s="19">
        <v>166.46</v>
      </c>
      <c r="AA51" s="19">
        <v>529.74</v>
      </c>
      <c r="AB51" s="19">
        <v>0.0</v>
      </c>
      <c r="AC51" s="19">
        <v>0.0</v>
      </c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</row>
    <row r="52" ht="11.25" customHeight="1">
      <c r="A52" s="25">
        <v>45839.0</v>
      </c>
      <c r="B52" s="24">
        <v>2025.0</v>
      </c>
      <c r="C52" s="24" t="s">
        <v>55</v>
      </c>
      <c r="D52" s="18" t="s">
        <v>50</v>
      </c>
      <c r="E52" s="18"/>
      <c r="F52" s="18" t="s">
        <v>52</v>
      </c>
      <c r="G52" s="18">
        <v>1.0</v>
      </c>
      <c r="H52" s="18" t="s">
        <v>40</v>
      </c>
      <c r="I52" s="19">
        <v>3811.75</v>
      </c>
      <c r="J52" s="19"/>
      <c r="K52" s="19">
        <v>1764.7</v>
      </c>
      <c r="L52" s="19"/>
      <c r="M52" s="19"/>
      <c r="N52" s="19"/>
      <c r="O52" s="19"/>
      <c r="P52" s="19">
        <v>968.0</v>
      </c>
      <c r="Q52" s="19"/>
      <c r="R52" s="20">
        <v>6544.45</v>
      </c>
      <c r="S52" s="19">
        <v>278.81666666666666</v>
      </c>
      <c r="T52" s="19">
        <v>1067.3</v>
      </c>
      <c r="U52" s="19"/>
      <c r="V52" s="19"/>
      <c r="W52" s="20">
        <v>1346.1166666666666</v>
      </c>
      <c r="X52" s="21">
        <v>7890.566666666667</v>
      </c>
      <c r="Y52" s="22">
        <v>35.86621212121212</v>
      </c>
      <c r="Z52" s="19">
        <v>167.29</v>
      </c>
      <c r="AA52" s="19">
        <v>533.65</v>
      </c>
      <c r="AB52" s="19">
        <v>0.0</v>
      </c>
      <c r="AC52" s="19">
        <v>0.0</v>
      </c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</row>
    <row r="53" ht="11.25" customHeight="1">
      <c r="A53" s="16">
        <v>45839.0</v>
      </c>
      <c r="B53" s="17">
        <v>2025.0</v>
      </c>
      <c r="C53" s="17" t="s">
        <v>56</v>
      </c>
      <c r="D53" s="18" t="s">
        <v>50</v>
      </c>
      <c r="E53" s="18"/>
      <c r="F53" s="18" t="s">
        <v>52</v>
      </c>
      <c r="G53" s="18">
        <v>1.0</v>
      </c>
      <c r="H53" s="18" t="s">
        <v>40</v>
      </c>
      <c r="I53" s="19">
        <v>3811.75</v>
      </c>
      <c r="J53" s="19"/>
      <c r="K53" s="19">
        <v>1764.7</v>
      </c>
      <c r="L53" s="19"/>
      <c r="M53" s="19"/>
      <c r="N53" s="19"/>
      <c r="O53" s="19"/>
      <c r="P53" s="19">
        <v>968.0</v>
      </c>
      <c r="Q53" s="19"/>
      <c r="R53" s="20">
        <v>6544.45</v>
      </c>
      <c r="S53" s="19">
        <v>278.81666666666666</v>
      </c>
      <c r="T53" s="19">
        <v>1067.3</v>
      </c>
      <c r="U53" s="19"/>
      <c r="V53" s="19"/>
      <c r="W53" s="20">
        <v>1346.1166666666666</v>
      </c>
      <c r="X53" s="21">
        <v>7890.566666666667</v>
      </c>
      <c r="Y53" s="22">
        <v>35.86621212121212</v>
      </c>
      <c r="Z53" s="19">
        <v>167.29</v>
      </c>
      <c r="AA53" s="19">
        <v>533.65</v>
      </c>
      <c r="AB53" s="19">
        <v>0.0</v>
      </c>
      <c r="AC53" s="19">
        <v>0.0</v>
      </c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</row>
    <row r="54" ht="11.25" customHeight="1">
      <c r="A54" s="25">
        <v>45839.0</v>
      </c>
      <c r="B54" s="24">
        <v>2025.0</v>
      </c>
      <c r="C54" s="24" t="s">
        <v>57</v>
      </c>
      <c r="D54" s="18" t="s">
        <v>50</v>
      </c>
      <c r="E54" s="18"/>
      <c r="F54" s="18" t="s">
        <v>52</v>
      </c>
      <c r="G54" s="18">
        <v>1.0</v>
      </c>
      <c r="H54" s="18" t="s">
        <v>32</v>
      </c>
      <c r="I54" s="19">
        <v>3811.75</v>
      </c>
      <c r="J54" s="19"/>
      <c r="K54" s="19">
        <v>1764.7</v>
      </c>
      <c r="L54" s="19"/>
      <c r="M54" s="19"/>
      <c r="N54" s="19"/>
      <c r="O54" s="19"/>
      <c r="P54" s="19">
        <v>968.0</v>
      </c>
      <c r="Q54" s="19">
        <v>-557.65</v>
      </c>
      <c r="R54" s="20">
        <v>5986.8</v>
      </c>
      <c r="S54" s="19">
        <v>250.93333333333337</v>
      </c>
      <c r="T54" s="19">
        <v>911.1399999999999</v>
      </c>
      <c r="U54" s="19"/>
      <c r="V54" s="19"/>
      <c r="W54" s="20">
        <v>1162.0733333333333</v>
      </c>
      <c r="X54" s="21">
        <v>7148.873333333333</v>
      </c>
      <c r="Y54" s="22">
        <v>32.49487878787879</v>
      </c>
      <c r="Z54" s="19">
        <v>150.56</v>
      </c>
      <c r="AA54" s="19">
        <v>455.57</v>
      </c>
      <c r="AB54" s="19">
        <v>0.0</v>
      </c>
      <c r="AC54" s="19">
        <v>0.0</v>
      </c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</row>
    <row r="55" ht="11.25" customHeight="1">
      <c r="A55" s="16">
        <v>45839.0</v>
      </c>
      <c r="B55" s="17">
        <v>2025.0</v>
      </c>
      <c r="C55" s="17" t="s">
        <v>58</v>
      </c>
      <c r="D55" s="18" t="s">
        <v>50</v>
      </c>
      <c r="E55" s="18"/>
      <c r="F55" s="18" t="s">
        <v>52</v>
      </c>
      <c r="G55" s="18">
        <v>1.0</v>
      </c>
      <c r="H55" s="18" t="s">
        <v>32</v>
      </c>
      <c r="I55" s="19">
        <v>3811.75</v>
      </c>
      <c r="J55" s="19"/>
      <c r="K55" s="19">
        <v>1764.7</v>
      </c>
      <c r="L55" s="19"/>
      <c r="M55" s="19"/>
      <c r="N55" s="19"/>
      <c r="O55" s="19"/>
      <c r="P55" s="19">
        <v>968.0</v>
      </c>
      <c r="Q55" s="19">
        <v>-55.76</v>
      </c>
      <c r="R55" s="20">
        <v>6488.69</v>
      </c>
      <c r="S55" s="19">
        <v>276.03333333333336</v>
      </c>
      <c r="T55" s="19">
        <v>1051.68</v>
      </c>
      <c r="U55" s="19"/>
      <c r="V55" s="19"/>
      <c r="W55" s="20">
        <v>1327.7133333333334</v>
      </c>
      <c r="X55" s="21">
        <v>7816.403333333333</v>
      </c>
      <c r="Y55" s="22">
        <v>35.52910606060606</v>
      </c>
      <c r="Z55" s="19">
        <v>165.62</v>
      </c>
      <c r="AA55" s="19">
        <v>525.84</v>
      </c>
      <c r="AB55" s="19">
        <v>0.0</v>
      </c>
      <c r="AC55" s="19">
        <v>0.0</v>
      </c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</row>
    <row r="56" ht="11.25" customHeight="1">
      <c r="A56" s="25">
        <v>45839.0</v>
      </c>
      <c r="B56" s="24">
        <v>2025.0</v>
      </c>
      <c r="C56" s="24" t="s">
        <v>60</v>
      </c>
      <c r="D56" s="18" t="s">
        <v>50</v>
      </c>
      <c r="E56" s="18" t="s">
        <v>61</v>
      </c>
      <c r="F56" s="18" t="s">
        <v>52</v>
      </c>
      <c r="G56" s="18">
        <v>1.0</v>
      </c>
      <c r="H56" s="18" t="s">
        <v>36</v>
      </c>
      <c r="I56" s="19">
        <v>3811.75</v>
      </c>
      <c r="J56" s="19">
        <v>1250.0</v>
      </c>
      <c r="K56" s="19">
        <v>1764.7</v>
      </c>
      <c r="L56" s="19"/>
      <c r="M56" s="19"/>
      <c r="N56" s="19"/>
      <c r="O56" s="19"/>
      <c r="P56" s="19">
        <v>968.0</v>
      </c>
      <c r="Q56" s="19"/>
      <c r="R56" s="20">
        <v>7794.45</v>
      </c>
      <c r="S56" s="19">
        <v>341.31666666666666</v>
      </c>
      <c r="T56" s="19">
        <v>1067.3</v>
      </c>
      <c r="U56" s="19"/>
      <c r="V56" s="19"/>
      <c r="W56" s="20">
        <v>1408.6166666666666</v>
      </c>
      <c r="X56" s="21">
        <v>9203.066666666666</v>
      </c>
      <c r="Y56" s="22">
        <v>41.83212121212121</v>
      </c>
      <c r="Z56" s="19">
        <v>204.79</v>
      </c>
      <c r="AA56" s="19">
        <v>533.65</v>
      </c>
      <c r="AB56" s="19">
        <v>0.0</v>
      </c>
      <c r="AC56" s="19">
        <v>0.0</v>
      </c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</row>
    <row r="57" ht="11.25" customHeight="1">
      <c r="A57" s="16">
        <v>45839.0</v>
      </c>
      <c r="B57" s="17">
        <v>2025.0</v>
      </c>
      <c r="C57" s="17" t="s">
        <v>62</v>
      </c>
      <c r="D57" s="18" t="s">
        <v>50</v>
      </c>
      <c r="E57" s="18" t="s">
        <v>63</v>
      </c>
      <c r="F57" s="18" t="s">
        <v>52</v>
      </c>
      <c r="G57" s="18">
        <v>1.0</v>
      </c>
      <c r="H57" s="18" t="s">
        <v>38</v>
      </c>
      <c r="I57" s="19">
        <v>3811.75</v>
      </c>
      <c r="J57" s="19">
        <v>4622.4</v>
      </c>
      <c r="K57" s="19">
        <v>1764.7</v>
      </c>
      <c r="L57" s="19"/>
      <c r="M57" s="19"/>
      <c r="N57" s="19"/>
      <c r="O57" s="19"/>
      <c r="P57" s="19">
        <v>968.0</v>
      </c>
      <c r="Q57" s="19"/>
      <c r="R57" s="20">
        <v>11166.85</v>
      </c>
      <c r="S57" s="19"/>
      <c r="T57" s="19">
        <v>1067.3</v>
      </c>
      <c r="U57" s="19"/>
      <c r="V57" s="19"/>
      <c r="W57" s="20">
        <v>1067.3</v>
      </c>
      <c r="X57" s="21">
        <v>12234.15</v>
      </c>
      <c r="Y57" s="22">
        <v>55.60977272727273</v>
      </c>
      <c r="Z57" s="19">
        <v>0.0</v>
      </c>
      <c r="AA57" s="19">
        <v>533.65</v>
      </c>
      <c r="AB57" s="19">
        <v>0.0</v>
      </c>
      <c r="AC57" s="19">
        <v>0.0</v>
      </c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</row>
    <row r="58" ht="11.25" customHeight="1">
      <c r="A58" s="25">
        <v>45839.0</v>
      </c>
      <c r="B58" s="24">
        <v>2025.0</v>
      </c>
      <c r="C58" s="24" t="s">
        <v>64</v>
      </c>
      <c r="D58" s="18" t="s">
        <v>65</v>
      </c>
      <c r="E58" s="18"/>
      <c r="F58" s="18" t="s">
        <v>66</v>
      </c>
      <c r="G58" s="18">
        <v>1.0</v>
      </c>
      <c r="H58" s="18" t="s">
        <v>40</v>
      </c>
      <c r="I58" s="19">
        <v>2499.97</v>
      </c>
      <c r="J58" s="19"/>
      <c r="K58" s="19"/>
      <c r="L58" s="19"/>
      <c r="M58" s="19"/>
      <c r="N58" s="19"/>
      <c r="O58" s="19"/>
      <c r="P58" s="19"/>
      <c r="Q58" s="19"/>
      <c r="R58" s="20">
        <v>2499.97</v>
      </c>
      <c r="S58" s="19"/>
      <c r="T58" s="19"/>
      <c r="U58" s="19"/>
      <c r="V58" s="19"/>
      <c r="W58" s="20">
        <v>0.0</v>
      </c>
      <c r="X58" s="21">
        <v>2499.97</v>
      </c>
      <c r="Y58" s="22">
        <v>11.363499999999998</v>
      </c>
      <c r="Z58" s="19">
        <v>0.0</v>
      </c>
      <c r="AA58" s="19"/>
      <c r="AB58" s="19">
        <v>0.0</v>
      </c>
      <c r="AC58" s="19">
        <v>0.0</v>
      </c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</row>
    <row r="59" ht="11.25" customHeight="1">
      <c r="A59" s="16">
        <v>45839.0</v>
      </c>
      <c r="B59" s="17">
        <v>2025.0</v>
      </c>
      <c r="C59" s="17" t="s">
        <v>100</v>
      </c>
      <c r="D59" s="18" t="s">
        <v>65</v>
      </c>
      <c r="E59" s="18"/>
      <c r="F59" s="18" t="s">
        <v>66</v>
      </c>
      <c r="G59" s="18">
        <v>1.0</v>
      </c>
      <c r="H59" s="18" t="s">
        <v>36</v>
      </c>
      <c r="I59" s="19">
        <v>1260.49</v>
      </c>
      <c r="J59" s="19"/>
      <c r="K59" s="19"/>
      <c r="L59" s="19"/>
      <c r="M59" s="19"/>
      <c r="N59" s="19"/>
      <c r="O59" s="19"/>
      <c r="P59" s="19"/>
      <c r="Q59" s="19"/>
      <c r="R59" s="20">
        <v>1260.49</v>
      </c>
      <c r="S59" s="19"/>
      <c r="T59" s="19"/>
      <c r="U59" s="19"/>
      <c r="V59" s="19"/>
      <c r="W59" s="20">
        <v>0.0</v>
      </c>
      <c r="X59" s="21">
        <v>1260.49</v>
      </c>
      <c r="Y59" s="22">
        <v>5.7295</v>
      </c>
      <c r="Z59" s="19">
        <v>0.0</v>
      </c>
      <c r="AA59" s="19"/>
      <c r="AB59" s="19">
        <v>0.0</v>
      </c>
      <c r="AC59" s="19">
        <v>0.0</v>
      </c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</row>
    <row r="60" ht="11.25" customHeight="1">
      <c r="A60" s="25">
        <v>45839.0</v>
      </c>
      <c r="B60" s="24">
        <v>2025.0</v>
      </c>
      <c r="C60" s="24" t="s">
        <v>67</v>
      </c>
      <c r="D60" s="18" t="s">
        <v>65</v>
      </c>
      <c r="E60" s="18"/>
      <c r="F60" s="18" t="s">
        <v>66</v>
      </c>
      <c r="G60" s="18">
        <v>1.0</v>
      </c>
      <c r="H60" s="18" t="s">
        <v>32</v>
      </c>
      <c r="I60" s="19">
        <v>2499.97</v>
      </c>
      <c r="J60" s="19"/>
      <c r="K60" s="19"/>
      <c r="L60" s="19"/>
      <c r="M60" s="19"/>
      <c r="N60" s="19"/>
      <c r="O60" s="19"/>
      <c r="P60" s="19"/>
      <c r="Q60" s="19"/>
      <c r="R60" s="20">
        <v>2499.97</v>
      </c>
      <c r="S60" s="19"/>
      <c r="T60" s="19"/>
      <c r="U60" s="19"/>
      <c r="V60" s="19"/>
      <c r="W60" s="20">
        <v>0.0</v>
      </c>
      <c r="X60" s="21">
        <v>2499.97</v>
      </c>
      <c r="Y60" s="22">
        <v>11.363499999999998</v>
      </c>
      <c r="Z60" s="19">
        <v>0.0</v>
      </c>
      <c r="AA60" s="19"/>
      <c r="AB60" s="19">
        <v>0.0</v>
      </c>
      <c r="AC60" s="19">
        <v>0.0</v>
      </c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</row>
    <row r="61" ht="11.25" customHeight="1">
      <c r="A61" s="16">
        <v>45839.0</v>
      </c>
      <c r="B61" s="17">
        <v>2025.0</v>
      </c>
      <c r="C61" s="17" t="s">
        <v>68</v>
      </c>
      <c r="D61" s="18" t="s">
        <v>65</v>
      </c>
      <c r="E61" s="18"/>
      <c r="F61" s="18" t="s">
        <v>66</v>
      </c>
      <c r="G61" s="18">
        <v>1.0</v>
      </c>
      <c r="H61" s="18" t="s">
        <v>32</v>
      </c>
      <c r="I61" s="19">
        <v>2499.97</v>
      </c>
      <c r="J61" s="19"/>
      <c r="K61" s="19"/>
      <c r="L61" s="19"/>
      <c r="M61" s="19"/>
      <c r="N61" s="19"/>
      <c r="O61" s="19"/>
      <c r="P61" s="19"/>
      <c r="Q61" s="19"/>
      <c r="R61" s="20">
        <v>2499.97</v>
      </c>
      <c r="S61" s="19"/>
      <c r="T61" s="19"/>
      <c r="U61" s="19"/>
      <c r="V61" s="19"/>
      <c r="W61" s="20">
        <v>0.0</v>
      </c>
      <c r="X61" s="21">
        <v>2499.97</v>
      </c>
      <c r="Y61" s="22">
        <v>11.363499999999998</v>
      </c>
      <c r="Z61" s="19">
        <v>0.0</v>
      </c>
      <c r="AA61" s="19"/>
      <c r="AB61" s="19">
        <v>0.0</v>
      </c>
      <c r="AC61" s="19">
        <v>0.0</v>
      </c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</row>
    <row r="62" ht="11.25" customHeight="1">
      <c r="A62" s="25">
        <v>45839.0</v>
      </c>
      <c r="B62" s="24">
        <v>2025.0</v>
      </c>
      <c r="C62" s="24" t="s">
        <v>69</v>
      </c>
      <c r="D62" s="18" t="s">
        <v>65</v>
      </c>
      <c r="E62" s="18"/>
      <c r="F62" s="18" t="s">
        <v>66</v>
      </c>
      <c r="G62" s="18">
        <v>1.0</v>
      </c>
      <c r="H62" s="18" t="s">
        <v>36</v>
      </c>
      <c r="I62" s="19">
        <v>2499.97</v>
      </c>
      <c r="J62" s="19"/>
      <c r="K62" s="19"/>
      <c r="L62" s="19"/>
      <c r="M62" s="19"/>
      <c r="N62" s="19"/>
      <c r="O62" s="19"/>
      <c r="P62" s="19"/>
      <c r="Q62" s="19"/>
      <c r="R62" s="20">
        <v>2499.97</v>
      </c>
      <c r="S62" s="19"/>
      <c r="T62" s="19"/>
      <c r="U62" s="19"/>
      <c r="V62" s="19"/>
      <c r="W62" s="20">
        <v>0.0</v>
      </c>
      <c r="X62" s="21">
        <v>2499.97</v>
      </c>
      <c r="Y62" s="22">
        <v>11.363499999999998</v>
      </c>
      <c r="Z62" s="19">
        <v>0.0</v>
      </c>
      <c r="AA62" s="19"/>
      <c r="AB62" s="19">
        <v>0.0</v>
      </c>
      <c r="AC62" s="19">
        <v>0.0</v>
      </c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</row>
    <row r="63" ht="11.25" customHeight="1">
      <c r="A63" s="16">
        <v>45839.0</v>
      </c>
      <c r="B63" s="17">
        <v>2025.0</v>
      </c>
      <c r="C63" s="17" t="s">
        <v>71</v>
      </c>
      <c r="D63" s="18" t="s">
        <v>72</v>
      </c>
      <c r="E63" s="18"/>
      <c r="F63" s="18" t="s">
        <v>73</v>
      </c>
      <c r="G63" s="18">
        <v>1.0</v>
      </c>
      <c r="H63" s="18" t="s">
        <v>38</v>
      </c>
      <c r="I63" s="19">
        <v>27704.52</v>
      </c>
      <c r="J63" s="19"/>
      <c r="K63" s="19"/>
      <c r="L63" s="19"/>
      <c r="M63" s="19"/>
      <c r="N63" s="19"/>
      <c r="O63" s="19"/>
      <c r="P63" s="19">
        <v>968.0</v>
      </c>
      <c r="Q63" s="19"/>
      <c r="R63" s="20">
        <v>28672.52</v>
      </c>
      <c r="S63" s="19">
        <v>1385.2333333333336</v>
      </c>
      <c r="T63" s="19">
        <v>5526.18</v>
      </c>
      <c r="U63" s="19"/>
      <c r="V63" s="19"/>
      <c r="W63" s="20">
        <v>6911.413333333334</v>
      </c>
      <c r="X63" s="21">
        <v>35583.933333333334</v>
      </c>
      <c r="Y63" s="22">
        <v>161.74515151515152</v>
      </c>
      <c r="Z63" s="19">
        <v>831.14</v>
      </c>
      <c r="AA63" s="19">
        <v>2763.09</v>
      </c>
      <c r="AB63" s="19">
        <v>0.0</v>
      </c>
      <c r="AC63" s="19">
        <v>0.0</v>
      </c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</row>
    <row r="64" ht="11.25" customHeight="1">
      <c r="A64" s="25">
        <v>45839.0</v>
      </c>
      <c r="B64" s="24">
        <v>2025.0</v>
      </c>
      <c r="C64" s="24" t="s">
        <v>74</v>
      </c>
      <c r="D64" s="18" t="s">
        <v>75</v>
      </c>
      <c r="E64" s="18"/>
      <c r="F64" s="18" t="s">
        <v>76</v>
      </c>
      <c r="G64" s="18">
        <v>1.0</v>
      </c>
      <c r="H64" s="18" t="s">
        <v>36</v>
      </c>
      <c r="I64" s="19">
        <v>17530.0</v>
      </c>
      <c r="J64" s="19"/>
      <c r="K64" s="19"/>
      <c r="L64" s="19"/>
      <c r="M64" s="19"/>
      <c r="N64" s="19"/>
      <c r="O64" s="19"/>
      <c r="P64" s="19">
        <v>968.0</v>
      </c>
      <c r="Q64" s="19"/>
      <c r="R64" s="20">
        <v>18498.0</v>
      </c>
      <c r="S64" s="19">
        <v>876.5</v>
      </c>
      <c r="T64" s="19"/>
      <c r="U64" s="19">
        <v>3681.2999999999997</v>
      </c>
      <c r="V64" s="19"/>
      <c r="W64" s="20">
        <v>4557.799999999999</v>
      </c>
      <c r="X64" s="21">
        <v>23055.8</v>
      </c>
      <c r="Y64" s="22">
        <v>104.7990909090909</v>
      </c>
      <c r="Z64" s="19">
        <v>525.9</v>
      </c>
      <c r="AA64" s="19">
        <v>0.0</v>
      </c>
      <c r="AB64" s="19">
        <v>951.62</v>
      </c>
      <c r="AC64" s="19">
        <v>0.0</v>
      </c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</row>
    <row r="65" ht="11.25" customHeight="1">
      <c r="A65" s="16">
        <v>45839.0</v>
      </c>
      <c r="B65" s="17">
        <v>2025.0</v>
      </c>
      <c r="C65" s="17" t="s">
        <v>77</v>
      </c>
      <c r="D65" s="18" t="s">
        <v>75</v>
      </c>
      <c r="E65" s="18"/>
      <c r="F65" s="18" t="s">
        <v>76</v>
      </c>
      <c r="G65" s="18">
        <v>1.0</v>
      </c>
      <c r="H65" s="18" t="s">
        <v>40</v>
      </c>
      <c r="I65" s="19">
        <v>17530.0</v>
      </c>
      <c r="J65" s="19"/>
      <c r="K65" s="19"/>
      <c r="L65" s="19"/>
      <c r="M65" s="19"/>
      <c r="N65" s="19"/>
      <c r="O65" s="19"/>
      <c r="P65" s="19">
        <v>968.0</v>
      </c>
      <c r="Q65" s="19"/>
      <c r="R65" s="20">
        <v>18498.0</v>
      </c>
      <c r="S65" s="19">
        <v>876.5</v>
      </c>
      <c r="T65" s="19"/>
      <c r="U65" s="19">
        <v>3681.2999999999997</v>
      </c>
      <c r="V65" s="19"/>
      <c r="W65" s="20">
        <v>4557.799999999999</v>
      </c>
      <c r="X65" s="21">
        <v>23055.8</v>
      </c>
      <c r="Y65" s="22">
        <v>104.7990909090909</v>
      </c>
      <c r="Z65" s="19">
        <v>525.9</v>
      </c>
      <c r="AA65" s="19">
        <v>0.0</v>
      </c>
      <c r="AB65" s="19">
        <v>951.62</v>
      </c>
      <c r="AC65" s="19">
        <v>0.0</v>
      </c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</row>
    <row r="66" ht="11.25" customHeight="1">
      <c r="A66" s="25">
        <v>45839.0</v>
      </c>
      <c r="B66" s="24">
        <v>2025.0</v>
      </c>
      <c r="C66" s="24" t="s">
        <v>78</v>
      </c>
      <c r="D66" s="18" t="s">
        <v>75</v>
      </c>
      <c r="E66" s="18"/>
      <c r="F66" s="18" t="s">
        <v>76</v>
      </c>
      <c r="G66" s="18">
        <v>1.0</v>
      </c>
      <c r="H66" s="18" t="s">
        <v>32</v>
      </c>
      <c r="I66" s="19">
        <v>17530.0</v>
      </c>
      <c r="J66" s="19"/>
      <c r="K66" s="19"/>
      <c r="L66" s="19"/>
      <c r="M66" s="19"/>
      <c r="N66" s="19"/>
      <c r="O66" s="19"/>
      <c r="P66" s="19">
        <v>968.0</v>
      </c>
      <c r="Q66" s="19"/>
      <c r="R66" s="20">
        <v>18498.0</v>
      </c>
      <c r="S66" s="19"/>
      <c r="T66" s="19">
        <v>2134.5</v>
      </c>
      <c r="U66" s="19"/>
      <c r="V66" s="19"/>
      <c r="W66" s="20">
        <v>2134.5</v>
      </c>
      <c r="X66" s="21">
        <v>20632.5</v>
      </c>
      <c r="Y66" s="22">
        <v>93.7840909090909</v>
      </c>
      <c r="Z66" s="19">
        <v>0.0</v>
      </c>
      <c r="AA66" s="19">
        <v>1067.25</v>
      </c>
      <c r="AB66" s="19">
        <v>0.0</v>
      </c>
      <c r="AC66" s="19">
        <v>0.0</v>
      </c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</row>
    <row r="67" ht="11.25" customHeight="1">
      <c r="A67" s="16">
        <v>45839.0</v>
      </c>
      <c r="B67" s="17">
        <v>2025.0</v>
      </c>
      <c r="C67" s="17" t="s">
        <v>79</v>
      </c>
      <c r="D67" s="18" t="s">
        <v>80</v>
      </c>
      <c r="E67" s="18"/>
      <c r="F67" s="18" t="s">
        <v>81</v>
      </c>
      <c r="G67" s="18">
        <v>1.0</v>
      </c>
      <c r="H67" s="18" t="s">
        <v>36</v>
      </c>
      <c r="I67" s="19">
        <v>7750.0</v>
      </c>
      <c r="J67" s="19"/>
      <c r="K67" s="19"/>
      <c r="L67" s="19"/>
      <c r="M67" s="19"/>
      <c r="N67" s="19"/>
      <c r="O67" s="19"/>
      <c r="P67" s="19">
        <v>968.0</v>
      </c>
      <c r="Q67" s="19"/>
      <c r="R67" s="20">
        <v>8718.0</v>
      </c>
      <c r="S67" s="19">
        <v>387.5</v>
      </c>
      <c r="T67" s="19"/>
      <c r="U67" s="19">
        <v>1627.5</v>
      </c>
      <c r="V67" s="19"/>
      <c r="W67" s="20">
        <v>2015.0</v>
      </c>
      <c r="X67" s="21">
        <v>10733.0</v>
      </c>
      <c r="Y67" s="22">
        <v>48.78636363636364</v>
      </c>
      <c r="Z67" s="19">
        <v>232.5</v>
      </c>
      <c r="AA67" s="19">
        <v>0.0</v>
      </c>
      <c r="AB67" s="19">
        <v>894.58</v>
      </c>
      <c r="AC67" s="19">
        <v>0.0</v>
      </c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</row>
    <row r="68" ht="11.25" customHeight="1">
      <c r="A68" s="25">
        <v>45839.0</v>
      </c>
      <c r="B68" s="24">
        <v>2025.0</v>
      </c>
      <c r="C68" s="24" t="s">
        <v>82</v>
      </c>
      <c r="D68" s="18" t="s">
        <v>80</v>
      </c>
      <c r="E68" s="18"/>
      <c r="F68" s="18" t="s">
        <v>81</v>
      </c>
      <c r="G68" s="18">
        <v>1.0</v>
      </c>
      <c r="H68" s="18" t="s">
        <v>40</v>
      </c>
      <c r="I68" s="19">
        <v>7750.0</v>
      </c>
      <c r="J68" s="19"/>
      <c r="K68" s="19"/>
      <c r="L68" s="19"/>
      <c r="M68" s="19"/>
      <c r="N68" s="19"/>
      <c r="O68" s="19"/>
      <c r="P68" s="19">
        <v>968.0</v>
      </c>
      <c r="Q68" s="19"/>
      <c r="R68" s="20">
        <v>8718.0</v>
      </c>
      <c r="S68" s="19">
        <v>387.5</v>
      </c>
      <c r="T68" s="19"/>
      <c r="U68" s="19">
        <v>0.0</v>
      </c>
      <c r="V68" s="19">
        <v>935.78</v>
      </c>
      <c r="W68" s="20">
        <v>1323.28</v>
      </c>
      <c r="X68" s="21">
        <v>10041.28</v>
      </c>
      <c r="Y68" s="22">
        <v>45.64218181818182</v>
      </c>
      <c r="Z68" s="19">
        <v>232.5</v>
      </c>
      <c r="AA68" s="19">
        <v>0.0</v>
      </c>
      <c r="AB68" s="19">
        <v>0.0</v>
      </c>
      <c r="AC68" s="19">
        <v>524.04</v>
      </c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</row>
    <row r="69" ht="11.25" customHeight="1">
      <c r="A69" s="16">
        <v>45839.0</v>
      </c>
      <c r="B69" s="17">
        <v>2025.0</v>
      </c>
      <c r="C69" s="17" t="s">
        <v>83</v>
      </c>
      <c r="D69" s="18" t="s">
        <v>80</v>
      </c>
      <c r="E69" s="18"/>
      <c r="F69" s="18" t="s">
        <v>81</v>
      </c>
      <c r="G69" s="18">
        <v>1.0</v>
      </c>
      <c r="H69" s="18" t="s">
        <v>32</v>
      </c>
      <c r="I69" s="19">
        <v>7750.0</v>
      </c>
      <c r="J69" s="19"/>
      <c r="K69" s="19"/>
      <c r="L69" s="19"/>
      <c r="M69" s="19"/>
      <c r="N69" s="19"/>
      <c r="O69" s="19"/>
      <c r="P69" s="19">
        <v>968.0</v>
      </c>
      <c r="Q69" s="19"/>
      <c r="R69" s="20">
        <v>8718.0</v>
      </c>
      <c r="S69" s="19">
        <v>387.5</v>
      </c>
      <c r="T69" s="19"/>
      <c r="U69" s="19">
        <v>1627.5</v>
      </c>
      <c r="V69" s="19"/>
      <c r="W69" s="20">
        <v>2015.0</v>
      </c>
      <c r="X69" s="21">
        <v>10733.0</v>
      </c>
      <c r="Y69" s="22">
        <v>48.78636363636364</v>
      </c>
      <c r="Z69" s="19">
        <v>232.5</v>
      </c>
      <c r="AA69" s="19">
        <v>0.0</v>
      </c>
      <c r="AB69" s="19">
        <v>894.58</v>
      </c>
      <c r="AC69" s="19">
        <v>0.0</v>
      </c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</row>
    <row r="70" ht="11.25" customHeight="1">
      <c r="A70" s="25">
        <v>45839.0</v>
      </c>
      <c r="B70" s="24">
        <v>2025.0</v>
      </c>
      <c r="C70" s="24" t="s">
        <v>84</v>
      </c>
      <c r="D70" s="18" t="s">
        <v>85</v>
      </c>
      <c r="E70" s="18" t="s">
        <v>86</v>
      </c>
      <c r="F70" s="18" t="s">
        <v>87</v>
      </c>
      <c r="G70" s="18">
        <v>1.0</v>
      </c>
      <c r="H70" s="18" t="s">
        <v>36</v>
      </c>
      <c r="I70" s="19"/>
      <c r="J70" s="19">
        <v>1640.0</v>
      </c>
      <c r="K70" s="19">
        <v>1764.7</v>
      </c>
      <c r="L70" s="19"/>
      <c r="M70" s="19"/>
      <c r="N70" s="19"/>
      <c r="O70" s="19"/>
      <c r="P70" s="19"/>
      <c r="Q70" s="19"/>
      <c r="R70" s="20">
        <v>3404.7</v>
      </c>
      <c r="S70" s="19">
        <v>170.23333333333335</v>
      </c>
      <c r="T70" s="19"/>
      <c r="U70" s="19"/>
      <c r="V70" s="19"/>
      <c r="W70" s="20">
        <v>170.23333333333335</v>
      </c>
      <c r="X70" s="21">
        <v>3574.9333333333334</v>
      </c>
      <c r="Y70" s="22">
        <v>16.24969696969697</v>
      </c>
      <c r="Z70" s="19">
        <v>102.14</v>
      </c>
      <c r="AA70" s="19">
        <v>0.0</v>
      </c>
      <c r="AB70" s="19">
        <v>0.0</v>
      </c>
      <c r="AC70" s="19">
        <v>0.0</v>
      </c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</row>
    <row r="71" ht="11.25" customHeight="1">
      <c r="A71" s="16">
        <v>45839.0</v>
      </c>
      <c r="B71" s="17">
        <v>2025.0</v>
      </c>
      <c r="C71" s="17" t="s">
        <v>88</v>
      </c>
      <c r="D71" s="18" t="s">
        <v>85</v>
      </c>
      <c r="E71" s="18" t="s">
        <v>89</v>
      </c>
      <c r="F71" s="18" t="s">
        <v>87</v>
      </c>
      <c r="G71" s="18">
        <v>1.0</v>
      </c>
      <c r="H71" s="18" t="s">
        <v>36</v>
      </c>
      <c r="I71" s="19"/>
      <c r="J71" s="19">
        <v>1640.0</v>
      </c>
      <c r="K71" s="19">
        <v>1764.7</v>
      </c>
      <c r="L71" s="19"/>
      <c r="M71" s="19"/>
      <c r="N71" s="19"/>
      <c r="O71" s="19"/>
      <c r="P71" s="19"/>
      <c r="Q71" s="19"/>
      <c r="R71" s="20">
        <v>3404.7</v>
      </c>
      <c r="S71" s="19">
        <v>170.23333333333335</v>
      </c>
      <c r="T71" s="19"/>
      <c r="U71" s="19"/>
      <c r="V71" s="19"/>
      <c r="W71" s="20">
        <v>170.23333333333335</v>
      </c>
      <c r="X71" s="21">
        <v>3574.9333333333334</v>
      </c>
      <c r="Y71" s="22">
        <v>16.24969696969697</v>
      </c>
      <c r="Z71" s="19">
        <v>102.14</v>
      </c>
      <c r="AA71" s="19">
        <v>0.0</v>
      </c>
      <c r="AB71" s="19">
        <v>0.0</v>
      </c>
      <c r="AC71" s="19">
        <v>0.0</v>
      </c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</row>
    <row r="72" ht="11.25" customHeight="1">
      <c r="A72" s="25">
        <v>45839.0</v>
      </c>
      <c r="B72" s="24">
        <v>2025.0</v>
      </c>
      <c r="C72" s="24" t="s">
        <v>90</v>
      </c>
      <c r="D72" s="18" t="s">
        <v>85</v>
      </c>
      <c r="E72" s="18" t="s">
        <v>91</v>
      </c>
      <c r="F72" s="18" t="s">
        <v>87</v>
      </c>
      <c r="G72" s="18">
        <v>1.0</v>
      </c>
      <c r="H72" s="18" t="s">
        <v>40</v>
      </c>
      <c r="I72" s="19"/>
      <c r="J72" s="19">
        <v>1640.0</v>
      </c>
      <c r="K72" s="19">
        <v>1764.7</v>
      </c>
      <c r="L72" s="19"/>
      <c r="M72" s="19"/>
      <c r="N72" s="19"/>
      <c r="O72" s="19">
        <v>1224.3</v>
      </c>
      <c r="P72" s="19"/>
      <c r="Q72" s="19"/>
      <c r="R72" s="20">
        <v>4629.0</v>
      </c>
      <c r="S72" s="19">
        <v>231.45000000000002</v>
      </c>
      <c r="T72" s="19"/>
      <c r="U72" s="19"/>
      <c r="V72" s="19"/>
      <c r="W72" s="20">
        <v>231.45000000000002</v>
      </c>
      <c r="X72" s="21">
        <v>4860.45</v>
      </c>
      <c r="Y72" s="22">
        <v>22.092954545454546</v>
      </c>
      <c r="Z72" s="19">
        <v>138.87</v>
      </c>
      <c r="AA72" s="19">
        <v>0.0</v>
      </c>
      <c r="AB72" s="19">
        <v>0.0</v>
      </c>
      <c r="AC72" s="19">
        <v>0.0</v>
      </c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</row>
    <row r="73" ht="11.25" customHeight="1">
      <c r="A73" s="16">
        <v>45839.0</v>
      </c>
      <c r="B73" s="17">
        <v>2025.0</v>
      </c>
      <c r="C73" s="17" t="s">
        <v>92</v>
      </c>
      <c r="D73" s="18" t="s">
        <v>85</v>
      </c>
      <c r="E73" s="18" t="s">
        <v>93</v>
      </c>
      <c r="F73" s="18" t="s">
        <v>94</v>
      </c>
      <c r="G73" s="18">
        <v>1.0</v>
      </c>
      <c r="H73" s="18" t="s">
        <v>38</v>
      </c>
      <c r="I73" s="19"/>
      <c r="J73" s="19">
        <v>1070.0</v>
      </c>
      <c r="K73" s="19">
        <v>1764.7</v>
      </c>
      <c r="L73" s="19"/>
      <c r="M73" s="19"/>
      <c r="N73" s="19"/>
      <c r="O73" s="19"/>
      <c r="P73" s="19"/>
      <c r="Q73" s="19"/>
      <c r="R73" s="20">
        <v>2834.7</v>
      </c>
      <c r="S73" s="19">
        <v>141.73333333333335</v>
      </c>
      <c r="T73" s="19"/>
      <c r="U73" s="19"/>
      <c r="V73" s="19"/>
      <c r="W73" s="20">
        <v>141.73333333333335</v>
      </c>
      <c r="X73" s="21">
        <v>2976.4333333333334</v>
      </c>
      <c r="Y73" s="22">
        <v>13.529242424242424</v>
      </c>
      <c r="Z73" s="19">
        <v>85.04</v>
      </c>
      <c r="AA73" s="19">
        <v>0.0</v>
      </c>
      <c r="AB73" s="19">
        <v>0.0</v>
      </c>
      <c r="AC73" s="19">
        <v>0.0</v>
      </c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</row>
    <row r="74" ht="11.25" customHeight="1">
      <c r="A74" s="25">
        <v>45839.0</v>
      </c>
      <c r="B74" s="24">
        <v>2025.0</v>
      </c>
      <c r="C74" s="24" t="s">
        <v>95</v>
      </c>
      <c r="D74" s="18" t="s">
        <v>96</v>
      </c>
      <c r="E74" s="18"/>
      <c r="F74" s="18" t="s">
        <v>97</v>
      </c>
      <c r="G74" s="18">
        <v>1.0</v>
      </c>
      <c r="H74" s="18" t="s">
        <v>38</v>
      </c>
      <c r="I74" s="19"/>
      <c r="J74" s="19">
        <v>6933.6</v>
      </c>
      <c r="K74" s="19">
        <v>1764.7</v>
      </c>
      <c r="L74" s="19"/>
      <c r="M74" s="19"/>
      <c r="N74" s="19"/>
      <c r="O74" s="19"/>
      <c r="P74" s="19"/>
      <c r="Q74" s="19"/>
      <c r="R74" s="20">
        <v>8698.300000000001</v>
      </c>
      <c r="S74" s="19">
        <v>434.91666666666674</v>
      </c>
      <c r="T74" s="19"/>
      <c r="U74" s="19"/>
      <c r="V74" s="19"/>
      <c r="W74" s="20">
        <v>434.91666666666674</v>
      </c>
      <c r="X74" s="21">
        <v>9133.216666666667</v>
      </c>
      <c r="Y74" s="22">
        <v>41.51462121212121</v>
      </c>
      <c r="Z74" s="19">
        <v>260.95</v>
      </c>
      <c r="AA74" s="19">
        <v>0.0</v>
      </c>
      <c r="AB74" s="19">
        <v>0.0</v>
      </c>
      <c r="AC74" s="19">
        <v>0.0</v>
      </c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</row>
    <row r="75" ht="11.25" customHeight="1">
      <c r="A75" s="16">
        <v>45839.0</v>
      </c>
      <c r="B75" s="17">
        <v>2025.0</v>
      </c>
      <c r="C75" s="17" t="s">
        <v>98</v>
      </c>
      <c r="D75" s="18" t="s">
        <v>85</v>
      </c>
      <c r="E75" s="18"/>
      <c r="F75" s="18" t="s">
        <v>99</v>
      </c>
      <c r="G75" s="18">
        <v>1.0</v>
      </c>
      <c r="H75" s="18" t="s">
        <v>40</v>
      </c>
      <c r="I75" s="19"/>
      <c r="J75" s="19"/>
      <c r="K75" s="19">
        <v>1764.7</v>
      </c>
      <c r="L75" s="19"/>
      <c r="M75" s="19"/>
      <c r="N75" s="19"/>
      <c r="O75" s="19"/>
      <c r="P75" s="19"/>
      <c r="Q75" s="19"/>
      <c r="R75" s="20">
        <v>1764.7</v>
      </c>
      <c r="S75" s="19">
        <v>88.23333333333335</v>
      </c>
      <c r="T75" s="19"/>
      <c r="U75" s="19"/>
      <c r="V75" s="19"/>
      <c r="W75" s="20">
        <v>88.23333333333335</v>
      </c>
      <c r="X75" s="21">
        <v>1852.9333333333334</v>
      </c>
      <c r="Y75" s="22">
        <v>8.422424242424242</v>
      </c>
      <c r="Z75" s="19">
        <v>52.94</v>
      </c>
      <c r="AA75" s="19">
        <v>0.0</v>
      </c>
      <c r="AB75" s="19">
        <v>0.0</v>
      </c>
      <c r="AC75" s="19">
        <v>0.0</v>
      </c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</row>
    <row r="76" ht="11.25" customHeight="1">
      <c r="A76" s="25">
        <v>45474.0</v>
      </c>
      <c r="B76" s="24">
        <v>2024.0</v>
      </c>
      <c r="C76" s="24" t="s">
        <v>29</v>
      </c>
      <c r="D76" s="18" t="s">
        <v>30</v>
      </c>
      <c r="E76" s="18"/>
      <c r="F76" s="18" t="s">
        <v>31</v>
      </c>
      <c r="G76" s="18">
        <v>1.0</v>
      </c>
      <c r="H76" s="18" t="s">
        <v>32</v>
      </c>
      <c r="I76" s="19">
        <v>13206.96</v>
      </c>
      <c r="J76" s="19"/>
      <c r="K76" s="19">
        <v>813.63</v>
      </c>
      <c r="L76" s="19"/>
      <c r="M76" s="19"/>
      <c r="N76" s="19"/>
      <c r="O76" s="19"/>
      <c r="P76" s="19">
        <v>880.0</v>
      </c>
      <c r="Q76" s="19">
        <f>-575.33</f>
        <v>-575.33</v>
      </c>
      <c r="R76" s="20">
        <f t="shared" ref="R76:R111" si="9">SUM(I76:Q76)</f>
        <v>14325.26</v>
      </c>
      <c r="S76" s="19">
        <f t="shared" ref="S76:S111" si="10">Z76/0.03*0.05</f>
        <v>672.2666667</v>
      </c>
      <c r="T76" s="19">
        <f t="shared" ref="T76:T95" si="11">AA76/0.14*0.28</f>
        <v>1759.96</v>
      </c>
      <c r="U76" s="19"/>
      <c r="V76" s="19"/>
      <c r="W76" s="20">
        <f t="shared" ref="W76:W111" si="12">SUM(S76:V76)</f>
        <v>2432.226667</v>
      </c>
      <c r="X76" s="21">
        <f t="shared" ref="X76:X111" si="13">R76+W76</f>
        <v>16757.48667</v>
      </c>
      <c r="Y76" s="22">
        <f t="shared" ref="Y76:Y111" si="14">X76/220</f>
        <v>76.17039394</v>
      </c>
      <c r="Z76" s="19">
        <v>403.36</v>
      </c>
      <c r="AA76" s="19">
        <v>879.98</v>
      </c>
      <c r="AB76" s="19">
        <v>0.0</v>
      </c>
      <c r="AC76" s="19">
        <v>0.0</v>
      </c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</row>
    <row r="77" ht="11.25" customHeight="1">
      <c r="A77" s="16">
        <v>45474.0</v>
      </c>
      <c r="B77" s="17">
        <v>2024.0</v>
      </c>
      <c r="C77" s="17" t="s">
        <v>33</v>
      </c>
      <c r="D77" s="18" t="s">
        <v>30</v>
      </c>
      <c r="E77" s="18"/>
      <c r="F77" s="18" t="s">
        <v>31</v>
      </c>
      <c r="G77" s="18">
        <v>1.0</v>
      </c>
      <c r="H77" s="18" t="s">
        <v>32</v>
      </c>
      <c r="I77" s="19">
        <v>6860.87</v>
      </c>
      <c r="J77" s="19"/>
      <c r="K77" s="19">
        <v>2440.89</v>
      </c>
      <c r="L77" s="19"/>
      <c r="M77" s="19"/>
      <c r="N77" s="19"/>
      <c r="O77" s="19"/>
      <c r="P77" s="19">
        <v>880.0</v>
      </c>
      <c r="Q77" s="19"/>
      <c r="R77" s="20">
        <f t="shared" si="9"/>
        <v>10181.76</v>
      </c>
      <c r="S77" s="19">
        <f t="shared" si="10"/>
        <v>465.0833333</v>
      </c>
      <c r="T77" s="19">
        <f t="shared" si="11"/>
        <v>1921.04</v>
      </c>
      <c r="U77" s="19"/>
      <c r="V77" s="19"/>
      <c r="W77" s="20">
        <f t="shared" si="12"/>
        <v>2386.123333</v>
      </c>
      <c r="X77" s="21">
        <f t="shared" si="13"/>
        <v>12567.88333</v>
      </c>
      <c r="Y77" s="22">
        <f t="shared" si="14"/>
        <v>57.12674242</v>
      </c>
      <c r="Z77" s="19">
        <v>279.05</v>
      </c>
      <c r="AA77" s="19">
        <v>960.52</v>
      </c>
      <c r="AB77" s="19">
        <v>0.0</v>
      </c>
      <c r="AC77" s="19">
        <v>0.0</v>
      </c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</row>
    <row r="78" ht="11.25" customHeight="1">
      <c r="A78" s="25">
        <v>45474.0</v>
      </c>
      <c r="B78" s="24">
        <v>2024.0</v>
      </c>
      <c r="C78" s="24" t="s">
        <v>34</v>
      </c>
      <c r="D78" s="18" t="s">
        <v>35</v>
      </c>
      <c r="E78" s="18"/>
      <c r="F78" s="18" t="s">
        <v>31</v>
      </c>
      <c r="G78" s="18">
        <v>1.0</v>
      </c>
      <c r="H78" s="18" t="s">
        <v>36</v>
      </c>
      <c r="I78" s="19">
        <v>6860.87</v>
      </c>
      <c r="J78" s="19"/>
      <c r="K78" s="19">
        <v>2440.89</v>
      </c>
      <c r="L78" s="19"/>
      <c r="M78" s="19"/>
      <c r="N78" s="19"/>
      <c r="O78" s="19"/>
      <c r="P78" s="19">
        <v>880.0</v>
      </c>
      <c r="Q78" s="19">
        <f>-46.51</f>
        <v>-46.51</v>
      </c>
      <c r="R78" s="20">
        <f t="shared" si="9"/>
        <v>10135.25</v>
      </c>
      <c r="S78" s="19">
        <f t="shared" si="10"/>
        <v>462.7666667</v>
      </c>
      <c r="T78" s="19">
        <f t="shared" si="11"/>
        <v>1908.02</v>
      </c>
      <c r="U78" s="19"/>
      <c r="V78" s="19"/>
      <c r="W78" s="20">
        <f t="shared" si="12"/>
        <v>2370.786667</v>
      </c>
      <c r="X78" s="21">
        <f t="shared" si="13"/>
        <v>12506.03667</v>
      </c>
      <c r="Y78" s="22">
        <f t="shared" si="14"/>
        <v>56.84562121</v>
      </c>
      <c r="Z78" s="19">
        <v>277.66</v>
      </c>
      <c r="AA78" s="19">
        <v>954.01</v>
      </c>
      <c r="AB78" s="19">
        <v>0.0</v>
      </c>
      <c r="AC78" s="19">
        <v>0.0</v>
      </c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</row>
    <row r="79" ht="11.25" customHeight="1">
      <c r="A79" s="16">
        <v>45474.0</v>
      </c>
      <c r="B79" s="17">
        <v>2024.0</v>
      </c>
      <c r="C79" s="17" t="s">
        <v>37</v>
      </c>
      <c r="D79" s="18" t="s">
        <v>35</v>
      </c>
      <c r="E79" s="18"/>
      <c r="F79" s="18" t="s">
        <v>31</v>
      </c>
      <c r="G79" s="18">
        <v>1.0</v>
      </c>
      <c r="H79" s="18" t="s">
        <v>38</v>
      </c>
      <c r="I79" s="19">
        <v>6860.87</v>
      </c>
      <c r="J79" s="19"/>
      <c r="K79" s="19">
        <v>2440.89</v>
      </c>
      <c r="L79" s="19"/>
      <c r="M79" s="19"/>
      <c r="N79" s="19"/>
      <c r="O79" s="19"/>
      <c r="P79" s="19">
        <v>880.0</v>
      </c>
      <c r="Q79" s="19"/>
      <c r="R79" s="20">
        <f t="shared" si="9"/>
        <v>10181.76</v>
      </c>
      <c r="S79" s="19">
        <f t="shared" si="10"/>
        <v>465.0833333</v>
      </c>
      <c r="T79" s="19">
        <f t="shared" si="11"/>
        <v>1921.04</v>
      </c>
      <c r="U79" s="19"/>
      <c r="V79" s="19"/>
      <c r="W79" s="20">
        <f t="shared" si="12"/>
        <v>2386.123333</v>
      </c>
      <c r="X79" s="21">
        <f t="shared" si="13"/>
        <v>12567.88333</v>
      </c>
      <c r="Y79" s="22">
        <f t="shared" si="14"/>
        <v>57.12674242</v>
      </c>
      <c r="Z79" s="19">
        <v>279.05</v>
      </c>
      <c r="AA79" s="19">
        <v>960.52</v>
      </c>
      <c r="AB79" s="19">
        <v>0.0</v>
      </c>
      <c r="AC79" s="19">
        <v>0.0</v>
      </c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</row>
    <row r="80" ht="11.25" customHeight="1">
      <c r="A80" s="25">
        <v>45474.0</v>
      </c>
      <c r="B80" s="24">
        <v>2024.0</v>
      </c>
      <c r="C80" s="24" t="s">
        <v>41</v>
      </c>
      <c r="D80" s="18" t="s">
        <v>42</v>
      </c>
      <c r="E80" s="18"/>
      <c r="F80" s="18" t="s">
        <v>31</v>
      </c>
      <c r="G80" s="18">
        <v>1.0</v>
      </c>
      <c r="H80" s="18" t="s">
        <v>36</v>
      </c>
      <c r="I80" s="19">
        <v>6860.87</v>
      </c>
      <c r="J80" s="19"/>
      <c r="K80" s="19">
        <v>2440.89</v>
      </c>
      <c r="L80" s="19"/>
      <c r="M80" s="19"/>
      <c r="N80" s="19"/>
      <c r="O80" s="19"/>
      <c r="P80" s="19">
        <v>880.0</v>
      </c>
      <c r="Q80" s="19"/>
      <c r="R80" s="20">
        <f t="shared" si="9"/>
        <v>10181.76</v>
      </c>
      <c r="S80" s="19">
        <f t="shared" si="10"/>
        <v>465.0833333</v>
      </c>
      <c r="T80" s="19">
        <f t="shared" si="11"/>
        <v>1921.04</v>
      </c>
      <c r="U80" s="19"/>
      <c r="V80" s="19"/>
      <c r="W80" s="20">
        <f t="shared" si="12"/>
        <v>2386.123333</v>
      </c>
      <c r="X80" s="21">
        <f t="shared" si="13"/>
        <v>12567.88333</v>
      </c>
      <c r="Y80" s="22">
        <f t="shared" si="14"/>
        <v>57.12674242</v>
      </c>
      <c r="Z80" s="19">
        <v>279.05</v>
      </c>
      <c r="AA80" s="19">
        <v>960.52</v>
      </c>
      <c r="AB80" s="19">
        <v>0.0</v>
      </c>
      <c r="AC80" s="19">
        <v>0.0</v>
      </c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</row>
    <row r="81" ht="11.25" customHeight="1">
      <c r="A81" s="16">
        <v>45474.0</v>
      </c>
      <c r="B81" s="17">
        <v>2024.0</v>
      </c>
      <c r="C81" s="17" t="s">
        <v>44</v>
      </c>
      <c r="D81" s="18" t="s">
        <v>42</v>
      </c>
      <c r="E81" s="18"/>
      <c r="F81" s="18" t="s">
        <v>31</v>
      </c>
      <c r="G81" s="18">
        <v>1.0</v>
      </c>
      <c r="H81" s="18" t="s">
        <v>36</v>
      </c>
      <c r="I81" s="19">
        <v>6860.87</v>
      </c>
      <c r="J81" s="19"/>
      <c r="K81" s="19">
        <v>2440.89</v>
      </c>
      <c r="L81" s="19"/>
      <c r="M81" s="19"/>
      <c r="N81" s="19"/>
      <c r="O81" s="19"/>
      <c r="P81" s="19">
        <v>880.0</v>
      </c>
      <c r="Q81" s="19"/>
      <c r="R81" s="20">
        <f t="shared" si="9"/>
        <v>10181.76</v>
      </c>
      <c r="S81" s="19">
        <f t="shared" si="10"/>
        <v>465.0833333</v>
      </c>
      <c r="T81" s="19">
        <f t="shared" si="11"/>
        <v>1921.04</v>
      </c>
      <c r="U81" s="19"/>
      <c r="V81" s="19"/>
      <c r="W81" s="20">
        <f t="shared" si="12"/>
        <v>2386.123333</v>
      </c>
      <c r="X81" s="21">
        <f t="shared" si="13"/>
        <v>12567.88333</v>
      </c>
      <c r="Y81" s="22">
        <f t="shared" si="14"/>
        <v>57.12674242</v>
      </c>
      <c r="Z81" s="19">
        <v>279.05</v>
      </c>
      <c r="AA81" s="19">
        <v>960.52</v>
      </c>
      <c r="AB81" s="19">
        <v>0.0</v>
      </c>
      <c r="AC81" s="19">
        <v>0.0</v>
      </c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</row>
    <row r="82" ht="11.25" customHeight="1">
      <c r="A82" s="25">
        <v>45474.0</v>
      </c>
      <c r="B82" s="24">
        <v>2024.0</v>
      </c>
      <c r="C82" s="24" t="s">
        <v>45</v>
      </c>
      <c r="D82" s="18" t="s">
        <v>46</v>
      </c>
      <c r="E82" s="18"/>
      <c r="F82" s="18" t="s">
        <v>31</v>
      </c>
      <c r="G82" s="18">
        <v>1.0</v>
      </c>
      <c r="H82" s="18" t="s">
        <v>38</v>
      </c>
      <c r="I82" s="19">
        <v>7370.87</v>
      </c>
      <c r="J82" s="19"/>
      <c r="K82" s="19">
        <v>2440.89</v>
      </c>
      <c r="L82" s="19"/>
      <c r="M82" s="19"/>
      <c r="N82" s="19"/>
      <c r="O82" s="19">
        <v>3430.44</v>
      </c>
      <c r="P82" s="19">
        <v>880.0</v>
      </c>
      <c r="Q82" s="19"/>
      <c r="R82" s="20">
        <f t="shared" si="9"/>
        <v>14122.2</v>
      </c>
      <c r="S82" s="19">
        <f t="shared" si="10"/>
        <v>662.1166667</v>
      </c>
      <c r="T82" s="19">
        <f t="shared" si="11"/>
        <v>1921.04</v>
      </c>
      <c r="U82" s="19"/>
      <c r="V82" s="19"/>
      <c r="W82" s="20">
        <f t="shared" si="12"/>
        <v>2583.156667</v>
      </c>
      <c r="X82" s="21">
        <f t="shared" si="13"/>
        <v>16705.35667</v>
      </c>
      <c r="Y82" s="22">
        <f t="shared" si="14"/>
        <v>75.93343939</v>
      </c>
      <c r="Z82" s="19">
        <v>397.27</v>
      </c>
      <c r="AA82" s="19">
        <v>960.52</v>
      </c>
      <c r="AB82" s="19">
        <v>0.0</v>
      </c>
      <c r="AC82" s="19">
        <v>0.0</v>
      </c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</row>
    <row r="83" ht="11.25" customHeight="1">
      <c r="A83" s="16">
        <v>45474.0</v>
      </c>
      <c r="B83" s="17">
        <v>2024.0</v>
      </c>
      <c r="C83" s="17" t="s">
        <v>101</v>
      </c>
      <c r="D83" s="18" t="s">
        <v>50</v>
      </c>
      <c r="E83" s="18"/>
      <c r="F83" s="18" t="s">
        <v>52</v>
      </c>
      <c r="G83" s="18">
        <v>1.0</v>
      </c>
      <c r="H83" s="18" t="s">
        <v>40</v>
      </c>
      <c r="I83" s="19">
        <v>3562.38</v>
      </c>
      <c r="J83" s="19"/>
      <c r="K83" s="19">
        <v>0.0</v>
      </c>
      <c r="L83" s="19"/>
      <c r="M83" s="19"/>
      <c r="N83" s="19"/>
      <c r="O83" s="19"/>
      <c r="P83" s="19">
        <v>880.0</v>
      </c>
      <c r="Q83" s="19"/>
      <c r="R83" s="20">
        <f t="shared" si="9"/>
        <v>4442.38</v>
      </c>
      <c r="S83" s="19">
        <f t="shared" si="10"/>
        <v>178.1166667</v>
      </c>
      <c r="T83" s="19">
        <f t="shared" si="11"/>
        <v>997.46</v>
      </c>
      <c r="U83" s="19"/>
      <c r="V83" s="19"/>
      <c r="W83" s="20">
        <f t="shared" si="12"/>
        <v>1175.576667</v>
      </c>
      <c r="X83" s="21">
        <f t="shared" si="13"/>
        <v>5617.956667</v>
      </c>
      <c r="Y83" s="22">
        <f t="shared" si="14"/>
        <v>25.53616667</v>
      </c>
      <c r="Z83" s="19">
        <v>106.87</v>
      </c>
      <c r="AA83" s="19">
        <v>498.73</v>
      </c>
      <c r="AB83" s="19">
        <v>0.0</v>
      </c>
      <c r="AC83" s="19">
        <v>0.0</v>
      </c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</row>
    <row r="84" ht="11.25" customHeight="1">
      <c r="A84" s="25">
        <v>45474.0</v>
      </c>
      <c r="B84" s="24">
        <v>2024.0</v>
      </c>
      <c r="C84" s="24" t="s">
        <v>49</v>
      </c>
      <c r="D84" s="18" t="s">
        <v>50</v>
      </c>
      <c r="E84" s="18" t="s">
        <v>51</v>
      </c>
      <c r="F84" s="18" t="s">
        <v>52</v>
      </c>
      <c r="G84" s="18">
        <v>1.0</v>
      </c>
      <c r="H84" s="18" t="s">
        <v>40</v>
      </c>
      <c r="I84" s="19">
        <v>3562.38</v>
      </c>
      <c r="J84" s="19">
        <v>1530.0</v>
      </c>
      <c r="K84" s="19">
        <v>1649.25</v>
      </c>
      <c r="L84" s="19"/>
      <c r="M84" s="19"/>
      <c r="N84" s="19"/>
      <c r="O84" s="19"/>
      <c r="P84" s="19">
        <v>880.0</v>
      </c>
      <c r="Q84" s="19"/>
      <c r="R84" s="20">
        <f t="shared" si="9"/>
        <v>7621.63</v>
      </c>
      <c r="S84" s="19">
        <f t="shared" si="10"/>
        <v>337.0833333</v>
      </c>
      <c r="T84" s="19">
        <f t="shared" si="11"/>
        <v>997.46</v>
      </c>
      <c r="U84" s="19"/>
      <c r="V84" s="19"/>
      <c r="W84" s="20">
        <f t="shared" si="12"/>
        <v>1334.543333</v>
      </c>
      <c r="X84" s="21">
        <f t="shared" si="13"/>
        <v>8956.173333</v>
      </c>
      <c r="Y84" s="22">
        <f t="shared" si="14"/>
        <v>40.70987879</v>
      </c>
      <c r="Z84" s="19">
        <v>202.25</v>
      </c>
      <c r="AA84" s="19">
        <v>498.73</v>
      </c>
      <c r="AB84" s="19">
        <v>0.0</v>
      </c>
      <c r="AC84" s="19">
        <v>0.0</v>
      </c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</row>
    <row r="85" ht="11.25" customHeight="1">
      <c r="A85" s="16">
        <v>45474.0</v>
      </c>
      <c r="B85" s="17">
        <v>2024.0</v>
      </c>
      <c r="C85" s="17" t="s">
        <v>53</v>
      </c>
      <c r="D85" s="18" t="s">
        <v>50</v>
      </c>
      <c r="E85" s="18"/>
      <c r="F85" s="18" t="s">
        <v>52</v>
      </c>
      <c r="G85" s="18">
        <v>1.0</v>
      </c>
      <c r="H85" s="18" t="s">
        <v>40</v>
      </c>
      <c r="I85" s="19">
        <v>3562.38</v>
      </c>
      <c r="J85" s="19"/>
      <c r="K85" s="19">
        <v>1649.25</v>
      </c>
      <c r="L85" s="19"/>
      <c r="M85" s="19"/>
      <c r="N85" s="19"/>
      <c r="O85" s="19"/>
      <c r="P85" s="19">
        <v>880.0</v>
      </c>
      <c r="Q85" s="19"/>
      <c r="R85" s="20">
        <f t="shared" si="9"/>
        <v>6091.63</v>
      </c>
      <c r="S85" s="19">
        <f t="shared" si="10"/>
        <v>260.5833333</v>
      </c>
      <c r="T85" s="19">
        <f t="shared" si="11"/>
        <v>997.46</v>
      </c>
      <c r="U85" s="19"/>
      <c r="V85" s="19"/>
      <c r="W85" s="20">
        <f t="shared" si="12"/>
        <v>1258.043333</v>
      </c>
      <c r="X85" s="21">
        <f t="shared" si="13"/>
        <v>7349.673333</v>
      </c>
      <c r="Y85" s="22">
        <f t="shared" si="14"/>
        <v>33.40760606</v>
      </c>
      <c r="Z85" s="19">
        <v>156.35</v>
      </c>
      <c r="AA85" s="19">
        <v>498.73</v>
      </c>
      <c r="AB85" s="19">
        <v>0.0</v>
      </c>
      <c r="AC85" s="19">
        <v>0.0</v>
      </c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</row>
    <row r="86" ht="11.25" customHeight="1">
      <c r="A86" s="25">
        <v>45474.0</v>
      </c>
      <c r="B86" s="24">
        <v>2024.0</v>
      </c>
      <c r="C86" s="24" t="s">
        <v>54</v>
      </c>
      <c r="D86" s="18" t="s">
        <v>50</v>
      </c>
      <c r="E86" s="18"/>
      <c r="F86" s="18" t="s">
        <v>52</v>
      </c>
      <c r="G86" s="18">
        <v>1.0</v>
      </c>
      <c r="H86" s="18" t="s">
        <v>40</v>
      </c>
      <c r="I86" s="19">
        <v>3562.38</v>
      </c>
      <c r="J86" s="19"/>
      <c r="K86" s="19">
        <v>1649.25</v>
      </c>
      <c r="L86" s="19"/>
      <c r="M86" s="19"/>
      <c r="N86" s="19"/>
      <c r="O86" s="19"/>
      <c r="P86" s="19">
        <v>880.0</v>
      </c>
      <c r="Q86" s="19"/>
      <c r="R86" s="20">
        <f t="shared" si="9"/>
        <v>6091.63</v>
      </c>
      <c r="S86" s="19">
        <f t="shared" si="10"/>
        <v>260.5833333</v>
      </c>
      <c r="T86" s="19">
        <f t="shared" si="11"/>
        <v>997.46</v>
      </c>
      <c r="U86" s="19"/>
      <c r="V86" s="19"/>
      <c r="W86" s="20">
        <f t="shared" si="12"/>
        <v>1258.043333</v>
      </c>
      <c r="X86" s="21">
        <f t="shared" si="13"/>
        <v>7349.673333</v>
      </c>
      <c r="Y86" s="22">
        <f t="shared" si="14"/>
        <v>33.40760606</v>
      </c>
      <c r="Z86" s="19">
        <v>156.35</v>
      </c>
      <c r="AA86" s="19">
        <v>498.73</v>
      </c>
      <c r="AB86" s="19">
        <v>0.0</v>
      </c>
      <c r="AC86" s="19">
        <v>0.0</v>
      </c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</row>
    <row r="87" ht="11.25" customHeight="1">
      <c r="A87" s="16">
        <v>45474.0</v>
      </c>
      <c r="B87" s="17">
        <v>2024.0</v>
      </c>
      <c r="C87" s="17" t="s">
        <v>55</v>
      </c>
      <c r="D87" s="18" t="s">
        <v>50</v>
      </c>
      <c r="E87" s="18"/>
      <c r="F87" s="18" t="s">
        <v>52</v>
      </c>
      <c r="G87" s="18">
        <v>1.0</v>
      </c>
      <c r="H87" s="18" t="s">
        <v>40</v>
      </c>
      <c r="I87" s="19">
        <v>3562.38</v>
      </c>
      <c r="J87" s="19"/>
      <c r="K87" s="19">
        <v>1649.25</v>
      </c>
      <c r="L87" s="19"/>
      <c r="M87" s="19"/>
      <c r="N87" s="19"/>
      <c r="O87" s="19"/>
      <c r="P87" s="19">
        <v>880.0</v>
      </c>
      <c r="Q87" s="19"/>
      <c r="R87" s="20">
        <f t="shared" si="9"/>
        <v>6091.63</v>
      </c>
      <c r="S87" s="19">
        <f t="shared" si="10"/>
        <v>260.5833333</v>
      </c>
      <c r="T87" s="19">
        <f t="shared" si="11"/>
        <v>997.46</v>
      </c>
      <c r="U87" s="19"/>
      <c r="V87" s="19"/>
      <c r="W87" s="20">
        <f t="shared" si="12"/>
        <v>1258.043333</v>
      </c>
      <c r="X87" s="21">
        <f t="shared" si="13"/>
        <v>7349.673333</v>
      </c>
      <c r="Y87" s="22">
        <f t="shared" si="14"/>
        <v>33.40760606</v>
      </c>
      <c r="Z87" s="19">
        <v>156.35</v>
      </c>
      <c r="AA87" s="19">
        <v>498.73</v>
      </c>
      <c r="AB87" s="19">
        <v>0.0</v>
      </c>
      <c r="AC87" s="19">
        <v>0.0</v>
      </c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</row>
    <row r="88" ht="11.25" customHeight="1">
      <c r="A88" s="25">
        <v>45474.0</v>
      </c>
      <c r="B88" s="24">
        <v>2024.0</v>
      </c>
      <c r="C88" s="24" t="s">
        <v>56</v>
      </c>
      <c r="D88" s="18" t="s">
        <v>50</v>
      </c>
      <c r="E88" s="18"/>
      <c r="F88" s="18" t="s">
        <v>52</v>
      </c>
      <c r="G88" s="18">
        <v>1.0</v>
      </c>
      <c r="H88" s="18" t="s">
        <v>40</v>
      </c>
      <c r="I88" s="19">
        <v>3562.38</v>
      </c>
      <c r="J88" s="19"/>
      <c r="K88" s="19">
        <v>1649.25</v>
      </c>
      <c r="L88" s="19"/>
      <c r="M88" s="19"/>
      <c r="N88" s="19"/>
      <c r="O88" s="19"/>
      <c r="P88" s="19">
        <v>880.0</v>
      </c>
      <c r="Q88" s="19"/>
      <c r="R88" s="20">
        <f t="shared" si="9"/>
        <v>6091.63</v>
      </c>
      <c r="S88" s="19">
        <f t="shared" si="10"/>
        <v>260.5833333</v>
      </c>
      <c r="T88" s="19">
        <f t="shared" si="11"/>
        <v>997.46</v>
      </c>
      <c r="U88" s="19"/>
      <c r="V88" s="19"/>
      <c r="W88" s="20">
        <f t="shared" si="12"/>
        <v>1258.043333</v>
      </c>
      <c r="X88" s="21">
        <f t="shared" si="13"/>
        <v>7349.673333</v>
      </c>
      <c r="Y88" s="22">
        <f t="shared" si="14"/>
        <v>33.40760606</v>
      </c>
      <c r="Z88" s="19">
        <v>156.35</v>
      </c>
      <c r="AA88" s="19">
        <v>498.73</v>
      </c>
      <c r="AB88" s="19">
        <v>0.0</v>
      </c>
      <c r="AC88" s="19">
        <v>0.0</v>
      </c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</row>
    <row r="89" ht="11.25" customHeight="1">
      <c r="A89" s="16">
        <v>45474.0</v>
      </c>
      <c r="B89" s="17">
        <v>2024.0</v>
      </c>
      <c r="C89" s="17" t="s">
        <v>57</v>
      </c>
      <c r="D89" s="18" t="s">
        <v>50</v>
      </c>
      <c r="E89" s="18"/>
      <c r="F89" s="18" t="s">
        <v>52</v>
      </c>
      <c r="G89" s="18">
        <v>1.0</v>
      </c>
      <c r="H89" s="18" t="s">
        <v>32</v>
      </c>
      <c r="I89" s="19">
        <v>3562.38</v>
      </c>
      <c r="J89" s="19"/>
      <c r="K89" s="19">
        <v>1649.25</v>
      </c>
      <c r="L89" s="19"/>
      <c r="M89" s="19"/>
      <c r="N89" s="19"/>
      <c r="O89" s="19"/>
      <c r="P89" s="19">
        <v>880.0</v>
      </c>
      <c r="Q89" s="19">
        <v>-286.64</v>
      </c>
      <c r="R89" s="20">
        <f t="shared" si="9"/>
        <v>5804.99</v>
      </c>
      <c r="S89" s="19">
        <f t="shared" si="10"/>
        <v>246.25</v>
      </c>
      <c r="T89" s="19">
        <f t="shared" si="11"/>
        <v>917.2</v>
      </c>
      <c r="U89" s="19"/>
      <c r="V89" s="19"/>
      <c r="W89" s="20">
        <f t="shared" si="12"/>
        <v>1163.45</v>
      </c>
      <c r="X89" s="21">
        <f t="shared" si="13"/>
        <v>6968.44</v>
      </c>
      <c r="Y89" s="22">
        <f t="shared" si="14"/>
        <v>31.67472727</v>
      </c>
      <c r="Z89" s="19">
        <v>147.75</v>
      </c>
      <c r="AA89" s="19">
        <v>458.6</v>
      </c>
      <c r="AB89" s="19">
        <v>0.0</v>
      </c>
      <c r="AC89" s="19">
        <v>0.0</v>
      </c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</row>
    <row r="90" ht="11.25" customHeight="1">
      <c r="A90" s="25">
        <v>45474.0</v>
      </c>
      <c r="B90" s="24">
        <v>2024.0</v>
      </c>
      <c r="C90" s="24" t="s">
        <v>58</v>
      </c>
      <c r="D90" s="18" t="s">
        <v>50</v>
      </c>
      <c r="E90" s="18"/>
      <c r="F90" s="18" t="s">
        <v>52</v>
      </c>
      <c r="G90" s="18">
        <v>1.0</v>
      </c>
      <c r="H90" s="18" t="s">
        <v>32</v>
      </c>
      <c r="I90" s="19">
        <v>3562.38</v>
      </c>
      <c r="J90" s="19"/>
      <c r="K90" s="19">
        <v>1649.25</v>
      </c>
      <c r="L90" s="19"/>
      <c r="M90" s="19"/>
      <c r="N90" s="19"/>
      <c r="O90" s="19"/>
      <c r="P90" s="19">
        <v>880.0</v>
      </c>
      <c r="Q90" s="19">
        <f>-104.23</f>
        <v>-104.23</v>
      </c>
      <c r="R90" s="20">
        <f t="shared" si="9"/>
        <v>5987.4</v>
      </c>
      <c r="S90" s="19">
        <f t="shared" si="10"/>
        <v>255.3666667</v>
      </c>
      <c r="T90" s="19">
        <f t="shared" si="11"/>
        <v>968.28</v>
      </c>
      <c r="U90" s="19"/>
      <c r="V90" s="19"/>
      <c r="W90" s="20">
        <f t="shared" si="12"/>
        <v>1223.646667</v>
      </c>
      <c r="X90" s="21">
        <f t="shared" si="13"/>
        <v>7211.046667</v>
      </c>
      <c r="Y90" s="22">
        <f t="shared" si="14"/>
        <v>32.77748485</v>
      </c>
      <c r="Z90" s="19">
        <v>153.22</v>
      </c>
      <c r="AA90" s="19">
        <v>484.14</v>
      </c>
      <c r="AB90" s="19">
        <v>0.0</v>
      </c>
      <c r="AC90" s="19">
        <v>0.0</v>
      </c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</row>
    <row r="91" ht="11.25" customHeight="1">
      <c r="A91" s="16">
        <v>45474.0</v>
      </c>
      <c r="B91" s="17">
        <v>2024.0</v>
      </c>
      <c r="C91" s="17" t="s">
        <v>60</v>
      </c>
      <c r="D91" s="18" t="s">
        <v>50</v>
      </c>
      <c r="E91" s="18"/>
      <c r="F91" s="18" t="s">
        <v>52</v>
      </c>
      <c r="G91" s="18">
        <v>1.0</v>
      </c>
      <c r="H91" s="18" t="s">
        <v>36</v>
      </c>
      <c r="I91" s="19">
        <v>3562.38</v>
      </c>
      <c r="J91" s="19"/>
      <c r="K91" s="19">
        <v>1649.25</v>
      </c>
      <c r="L91" s="19"/>
      <c r="M91" s="19"/>
      <c r="N91" s="19"/>
      <c r="O91" s="19"/>
      <c r="P91" s="19">
        <v>880.0</v>
      </c>
      <c r="Q91" s="19"/>
      <c r="R91" s="20">
        <f t="shared" si="9"/>
        <v>6091.63</v>
      </c>
      <c r="S91" s="19">
        <f t="shared" si="10"/>
        <v>260.5833333</v>
      </c>
      <c r="T91" s="19">
        <f t="shared" si="11"/>
        <v>997.46</v>
      </c>
      <c r="U91" s="19"/>
      <c r="V91" s="19"/>
      <c r="W91" s="20">
        <f t="shared" si="12"/>
        <v>1258.043333</v>
      </c>
      <c r="X91" s="21">
        <f t="shared" si="13"/>
        <v>7349.673333</v>
      </c>
      <c r="Y91" s="22">
        <f t="shared" si="14"/>
        <v>33.40760606</v>
      </c>
      <c r="Z91" s="19">
        <v>156.35</v>
      </c>
      <c r="AA91" s="19">
        <v>498.73</v>
      </c>
      <c r="AB91" s="19">
        <v>0.0</v>
      </c>
      <c r="AC91" s="19">
        <v>0.0</v>
      </c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</row>
    <row r="92" ht="11.25" customHeight="1">
      <c r="A92" s="25">
        <v>45474.0</v>
      </c>
      <c r="B92" s="24">
        <v>2024.0</v>
      </c>
      <c r="C92" s="24" t="s">
        <v>62</v>
      </c>
      <c r="D92" s="18" t="s">
        <v>50</v>
      </c>
      <c r="E92" s="18" t="s">
        <v>63</v>
      </c>
      <c r="F92" s="18" t="s">
        <v>52</v>
      </c>
      <c r="G92" s="18">
        <v>1.0</v>
      </c>
      <c r="H92" s="18" t="s">
        <v>38</v>
      </c>
      <c r="I92" s="19">
        <v>3562.38</v>
      </c>
      <c r="J92" s="19">
        <v>4320.0</v>
      </c>
      <c r="K92" s="19">
        <v>1649.25</v>
      </c>
      <c r="L92" s="19"/>
      <c r="M92" s="19"/>
      <c r="N92" s="19"/>
      <c r="O92" s="19"/>
      <c r="P92" s="19">
        <v>880.0</v>
      </c>
      <c r="Q92" s="19"/>
      <c r="R92" s="20">
        <f t="shared" si="9"/>
        <v>10411.63</v>
      </c>
      <c r="S92" s="19">
        <f t="shared" si="10"/>
        <v>476.5833333</v>
      </c>
      <c r="T92" s="19">
        <f t="shared" si="11"/>
        <v>997.46</v>
      </c>
      <c r="U92" s="19"/>
      <c r="V92" s="19"/>
      <c r="W92" s="20">
        <f t="shared" si="12"/>
        <v>1474.043333</v>
      </c>
      <c r="X92" s="21">
        <f t="shared" si="13"/>
        <v>11885.67333</v>
      </c>
      <c r="Y92" s="22">
        <f t="shared" si="14"/>
        <v>54.02578788</v>
      </c>
      <c r="Z92" s="19">
        <v>285.95</v>
      </c>
      <c r="AA92" s="19">
        <v>498.73</v>
      </c>
      <c r="AB92" s="19">
        <v>0.0</v>
      </c>
      <c r="AC92" s="19">
        <v>0.0</v>
      </c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</row>
    <row r="93" ht="11.25" customHeight="1">
      <c r="A93" s="16">
        <v>45474.0</v>
      </c>
      <c r="B93" s="17">
        <v>2024.0</v>
      </c>
      <c r="C93" s="17" t="s">
        <v>100</v>
      </c>
      <c r="D93" s="18" t="s">
        <v>50</v>
      </c>
      <c r="E93" s="18"/>
      <c r="F93" s="18" t="s">
        <v>52</v>
      </c>
      <c r="G93" s="18">
        <v>1.0</v>
      </c>
      <c r="H93" s="18" t="s">
        <v>36</v>
      </c>
      <c r="I93" s="19">
        <v>3562.38</v>
      </c>
      <c r="J93" s="19"/>
      <c r="K93" s="19">
        <v>1649.25</v>
      </c>
      <c r="L93" s="19"/>
      <c r="M93" s="19"/>
      <c r="N93" s="19"/>
      <c r="O93" s="19"/>
      <c r="P93" s="19">
        <v>880.0</v>
      </c>
      <c r="Q93" s="19"/>
      <c r="R93" s="20">
        <f t="shared" si="9"/>
        <v>6091.63</v>
      </c>
      <c r="S93" s="19">
        <f t="shared" si="10"/>
        <v>260.5833333</v>
      </c>
      <c r="T93" s="19">
        <f t="shared" si="11"/>
        <v>997.46</v>
      </c>
      <c r="U93" s="19"/>
      <c r="V93" s="19"/>
      <c r="W93" s="20">
        <f t="shared" si="12"/>
        <v>1258.043333</v>
      </c>
      <c r="X93" s="21">
        <f t="shared" si="13"/>
        <v>7349.673333</v>
      </c>
      <c r="Y93" s="22">
        <f t="shared" si="14"/>
        <v>33.40760606</v>
      </c>
      <c r="Z93" s="19">
        <v>156.35</v>
      </c>
      <c r="AA93" s="19">
        <v>498.73</v>
      </c>
      <c r="AB93" s="19">
        <v>0.0</v>
      </c>
      <c r="AC93" s="19">
        <v>0.0</v>
      </c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</row>
    <row r="94" ht="11.25" customHeight="1">
      <c r="A94" s="25">
        <v>45474.0</v>
      </c>
      <c r="B94" s="24">
        <v>2024.0</v>
      </c>
      <c r="C94" s="24" t="s">
        <v>102</v>
      </c>
      <c r="D94" s="18" t="s">
        <v>50</v>
      </c>
      <c r="E94" s="18"/>
      <c r="F94" s="18" t="s">
        <v>52</v>
      </c>
      <c r="G94" s="18">
        <v>1.0</v>
      </c>
      <c r="H94" s="18" t="s">
        <v>36</v>
      </c>
      <c r="I94" s="19">
        <v>3562.38</v>
      </c>
      <c r="J94" s="19"/>
      <c r="K94" s="19">
        <v>1649.25</v>
      </c>
      <c r="L94" s="19"/>
      <c r="M94" s="19"/>
      <c r="N94" s="19"/>
      <c r="O94" s="19"/>
      <c r="P94" s="19">
        <v>880.0</v>
      </c>
      <c r="Q94" s="19"/>
      <c r="R94" s="20">
        <f t="shared" si="9"/>
        <v>6091.63</v>
      </c>
      <c r="S94" s="19">
        <f t="shared" si="10"/>
        <v>260.5833333</v>
      </c>
      <c r="T94" s="19">
        <f t="shared" si="11"/>
        <v>997.46</v>
      </c>
      <c r="U94" s="19"/>
      <c r="V94" s="19"/>
      <c r="W94" s="20">
        <f t="shared" si="12"/>
        <v>1258.043333</v>
      </c>
      <c r="X94" s="21">
        <f t="shared" si="13"/>
        <v>7349.673333</v>
      </c>
      <c r="Y94" s="22">
        <f t="shared" si="14"/>
        <v>33.40760606</v>
      </c>
      <c r="Z94" s="19">
        <v>156.35</v>
      </c>
      <c r="AA94" s="19">
        <v>498.73</v>
      </c>
      <c r="AB94" s="19">
        <v>0.0</v>
      </c>
      <c r="AC94" s="19">
        <v>0.0</v>
      </c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</row>
    <row r="95" ht="11.25" customHeight="1">
      <c r="A95" s="16">
        <v>45474.0</v>
      </c>
      <c r="B95" s="17">
        <v>2024.0</v>
      </c>
      <c r="C95" s="17" t="s">
        <v>71</v>
      </c>
      <c r="D95" s="18" t="s">
        <v>72</v>
      </c>
      <c r="E95" s="18"/>
      <c r="F95" s="18" t="s">
        <v>73</v>
      </c>
      <c r="G95" s="18">
        <v>1.0</v>
      </c>
      <c r="H95" s="18" t="s">
        <v>38</v>
      </c>
      <c r="I95" s="19">
        <v>22900.0</v>
      </c>
      <c r="J95" s="19"/>
      <c r="K95" s="19"/>
      <c r="L95" s="19"/>
      <c r="M95" s="19"/>
      <c r="N95" s="19"/>
      <c r="O95" s="19"/>
      <c r="P95" s="19">
        <v>880.0</v>
      </c>
      <c r="Q95" s="19"/>
      <c r="R95" s="20">
        <f t="shared" si="9"/>
        <v>23780</v>
      </c>
      <c r="S95" s="19">
        <f t="shared" si="10"/>
        <v>1145</v>
      </c>
      <c r="T95" s="19">
        <f t="shared" si="11"/>
        <v>5190.82</v>
      </c>
      <c r="U95" s="19"/>
      <c r="V95" s="19"/>
      <c r="W95" s="20">
        <f t="shared" si="12"/>
        <v>6335.82</v>
      </c>
      <c r="X95" s="21">
        <f t="shared" si="13"/>
        <v>30115.82</v>
      </c>
      <c r="Y95" s="22">
        <f t="shared" si="14"/>
        <v>136.8900909</v>
      </c>
      <c r="Z95" s="19">
        <v>687.0</v>
      </c>
      <c r="AA95" s="19">
        <v>2595.41</v>
      </c>
      <c r="AB95" s="19">
        <v>0.0</v>
      </c>
      <c r="AC95" s="19">
        <v>0.0</v>
      </c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</row>
    <row r="96" ht="11.25" customHeight="1">
      <c r="A96" s="25">
        <v>45474.0</v>
      </c>
      <c r="B96" s="24">
        <v>2024.0</v>
      </c>
      <c r="C96" s="24" t="s">
        <v>74</v>
      </c>
      <c r="D96" s="18" t="s">
        <v>75</v>
      </c>
      <c r="E96" s="18"/>
      <c r="F96" s="18" t="s">
        <v>76</v>
      </c>
      <c r="G96" s="18">
        <v>1.0</v>
      </c>
      <c r="H96" s="18" t="s">
        <v>36</v>
      </c>
      <c r="I96" s="19">
        <v>15808.57</v>
      </c>
      <c r="J96" s="19"/>
      <c r="K96" s="19"/>
      <c r="L96" s="19"/>
      <c r="M96" s="19"/>
      <c r="N96" s="19"/>
      <c r="O96" s="19"/>
      <c r="P96" s="19">
        <v>880.0</v>
      </c>
      <c r="Q96" s="19"/>
      <c r="R96" s="20">
        <f t="shared" si="9"/>
        <v>16688.57</v>
      </c>
      <c r="S96" s="19">
        <f t="shared" si="10"/>
        <v>790.4333333</v>
      </c>
      <c r="T96" s="19"/>
      <c r="U96" s="19">
        <f t="shared" ref="U96:U99" si="15">I96*0.21</f>
        <v>3319.7997</v>
      </c>
      <c r="V96" s="19"/>
      <c r="W96" s="20">
        <f t="shared" si="12"/>
        <v>4110.233033</v>
      </c>
      <c r="X96" s="21">
        <f t="shared" si="13"/>
        <v>20798.80303</v>
      </c>
      <c r="Y96" s="22">
        <f t="shared" si="14"/>
        <v>94.54001379</v>
      </c>
      <c r="Z96" s="19">
        <v>474.26</v>
      </c>
      <c r="AA96" s="19">
        <v>0.0</v>
      </c>
      <c r="AB96" s="19">
        <v>908.85</v>
      </c>
      <c r="AC96" s="19">
        <v>0.0</v>
      </c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</row>
    <row r="97" ht="11.25" customHeight="1">
      <c r="A97" s="16">
        <v>45474.0</v>
      </c>
      <c r="B97" s="17">
        <v>2024.0</v>
      </c>
      <c r="C97" s="17" t="s">
        <v>77</v>
      </c>
      <c r="D97" s="18" t="s">
        <v>75</v>
      </c>
      <c r="E97" s="18"/>
      <c r="F97" s="18" t="s">
        <v>76</v>
      </c>
      <c r="G97" s="18">
        <v>1.0</v>
      </c>
      <c r="H97" s="18" t="s">
        <v>40</v>
      </c>
      <c r="I97" s="19">
        <v>15808.57</v>
      </c>
      <c r="J97" s="19"/>
      <c r="K97" s="19"/>
      <c r="L97" s="19"/>
      <c r="M97" s="19"/>
      <c r="N97" s="19"/>
      <c r="O97" s="19"/>
      <c r="P97" s="19">
        <v>880.0</v>
      </c>
      <c r="Q97" s="19"/>
      <c r="R97" s="20">
        <f t="shared" si="9"/>
        <v>16688.57</v>
      </c>
      <c r="S97" s="19">
        <f t="shared" si="10"/>
        <v>790.4333333</v>
      </c>
      <c r="T97" s="19"/>
      <c r="U97" s="19">
        <f t="shared" si="15"/>
        <v>3319.7997</v>
      </c>
      <c r="V97" s="19"/>
      <c r="W97" s="20">
        <f t="shared" si="12"/>
        <v>4110.233033</v>
      </c>
      <c r="X97" s="21">
        <f t="shared" si="13"/>
        <v>20798.80303</v>
      </c>
      <c r="Y97" s="22">
        <f t="shared" si="14"/>
        <v>94.54001379</v>
      </c>
      <c r="Z97" s="19">
        <v>474.26</v>
      </c>
      <c r="AA97" s="19">
        <v>0.0</v>
      </c>
      <c r="AB97" s="19">
        <v>908.85</v>
      </c>
      <c r="AC97" s="19">
        <v>0.0</v>
      </c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</row>
    <row r="98" ht="11.25" customHeight="1">
      <c r="A98" s="25">
        <v>45474.0</v>
      </c>
      <c r="B98" s="24">
        <v>2024.0</v>
      </c>
      <c r="C98" s="24" t="s">
        <v>103</v>
      </c>
      <c r="D98" s="18" t="s">
        <v>75</v>
      </c>
      <c r="E98" s="18"/>
      <c r="F98" s="18" t="s">
        <v>76</v>
      </c>
      <c r="G98" s="18">
        <v>1.0</v>
      </c>
      <c r="H98" s="18" t="s">
        <v>32</v>
      </c>
      <c r="I98" s="19">
        <v>16380.0</v>
      </c>
      <c r="J98" s="19"/>
      <c r="K98" s="19"/>
      <c r="L98" s="19"/>
      <c r="M98" s="19"/>
      <c r="N98" s="19"/>
      <c r="O98" s="19"/>
      <c r="P98" s="19">
        <v>880.0</v>
      </c>
      <c r="Q98" s="19"/>
      <c r="R98" s="20">
        <f t="shared" si="9"/>
        <v>17260</v>
      </c>
      <c r="S98" s="19">
        <f t="shared" si="10"/>
        <v>819</v>
      </c>
      <c r="T98" s="19">
        <f>AA98/0.14*0.28</f>
        <v>0</v>
      </c>
      <c r="U98" s="19">
        <f t="shared" si="15"/>
        <v>3439.8</v>
      </c>
      <c r="V98" s="19"/>
      <c r="W98" s="20">
        <f t="shared" si="12"/>
        <v>4258.8</v>
      </c>
      <c r="X98" s="21">
        <f t="shared" si="13"/>
        <v>21518.8</v>
      </c>
      <c r="Y98" s="22">
        <f t="shared" si="14"/>
        <v>97.81272727</v>
      </c>
      <c r="Z98" s="19">
        <v>491.4</v>
      </c>
      <c r="AA98" s="19">
        <v>0.0</v>
      </c>
      <c r="AB98" s="19">
        <v>908.85</v>
      </c>
      <c r="AC98" s="19">
        <v>0.0</v>
      </c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</row>
    <row r="99" ht="11.25" customHeight="1">
      <c r="A99" s="16">
        <v>45474.0</v>
      </c>
      <c r="B99" s="17">
        <v>2024.0</v>
      </c>
      <c r="C99" s="17" t="s">
        <v>79</v>
      </c>
      <c r="D99" s="18" t="s">
        <v>80</v>
      </c>
      <c r="E99" s="18"/>
      <c r="F99" s="18" t="s">
        <v>81</v>
      </c>
      <c r="G99" s="18">
        <v>1.0</v>
      </c>
      <c r="H99" s="18" t="s">
        <v>36</v>
      </c>
      <c r="I99" s="19">
        <v>7240.0</v>
      </c>
      <c r="J99" s="19"/>
      <c r="K99" s="19"/>
      <c r="L99" s="19"/>
      <c r="M99" s="19"/>
      <c r="N99" s="19"/>
      <c r="O99" s="19"/>
      <c r="P99" s="19">
        <v>880.0</v>
      </c>
      <c r="Q99" s="19"/>
      <c r="R99" s="20">
        <f t="shared" si="9"/>
        <v>8120</v>
      </c>
      <c r="S99" s="19">
        <f t="shared" si="10"/>
        <v>362</v>
      </c>
      <c r="T99" s="19"/>
      <c r="U99" s="19">
        <f t="shared" si="15"/>
        <v>1520.4</v>
      </c>
      <c r="V99" s="19"/>
      <c r="W99" s="20">
        <f t="shared" si="12"/>
        <v>1882.4</v>
      </c>
      <c r="X99" s="21">
        <f t="shared" si="13"/>
        <v>10002.4</v>
      </c>
      <c r="Y99" s="22">
        <f t="shared" si="14"/>
        <v>45.46545455</v>
      </c>
      <c r="Z99" s="19">
        <v>217.2</v>
      </c>
      <c r="AA99" s="19">
        <v>0.0</v>
      </c>
      <c r="AB99" s="19">
        <v>832.41</v>
      </c>
      <c r="AC99" s="19">
        <v>0.0</v>
      </c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</row>
    <row r="100" ht="11.25" customHeight="1">
      <c r="A100" s="25">
        <v>45474.0</v>
      </c>
      <c r="B100" s="24">
        <v>2024.0</v>
      </c>
      <c r="C100" s="24" t="s">
        <v>82</v>
      </c>
      <c r="D100" s="18" t="s">
        <v>80</v>
      </c>
      <c r="E100" s="18"/>
      <c r="F100" s="18" t="s">
        <v>81</v>
      </c>
      <c r="G100" s="18">
        <v>1.0</v>
      </c>
      <c r="H100" s="18" t="s">
        <v>40</v>
      </c>
      <c r="I100" s="19">
        <v>7240.0</v>
      </c>
      <c r="J100" s="19"/>
      <c r="K100" s="19"/>
      <c r="L100" s="19"/>
      <c r="M100" s="19"/>
      <c r="N100" s="19"/>
      <c r="O100" s="19"/>
      <c r="P100" s="19">
        <v>880.0</v>
      </c>
      <c r="Q100" s="19"/>
      <c r="R100" s="20">
        <f t="shared" si="9"/>
        <v>8120</v>
      </c>
      <c r="S100" s="19">
        <f t="shared" si="10"/>
        <v>362</v>
      </c>
      <c r="T100" s="19"/>
      <c r="U100" s="19">
        <v>0.0</v>
      </c>
      <c r="V100" s="19">
        <v>927.71</v>
      </c>
      <c r="W100" s="20">
        <f t="shared" si="12"/>
        <v>1289.71</v>
      </c>
      <c r="X100" s="21">
        <f t="shared" si="13"/>
        <v>9409.71</v>
      </c>
      <c r="Y100" s="22">
        <f t="shared" si="14"/>
        <v>42.77140909</v>
      </c>
      <c r="Z100" s="19">
        <v>217.2</v>
      </c>
      <c r="AA100" s="19">
        <v>0.0</v>
      </c>
      <c r="AB100" s="19">
        <v>0.0</v>
      </c>
      <c r="AC100" s="19">
        <v>519.52</v>
      </c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</row>
    <row r="101" ht="11.25" customHeight="1">
      <c r="A101" s="16">
        <v>45474.0</v>
      </c>
      <c r="B101" s="17">
        <v>2024.0</v>
      </c>
      <c r="C101" s="17" t="s">
        <v>83</v>
      </c>
      <c r="D101" s="18" t="s">
        <v>80</v>
      </c>
      <c r="E101" s="18"/>
      <c r="F101" s="18" t="s">
        <v>81</v>
      </c>
      <c r="G101" s="18">
        <v>1.0</v>
      </c>
      <c r="H101" s="18" t="s">
        <v>32</v>
      </c>
      <c r="I101" s="19">
        <v>7240.0</v>
      </c>
      <c r="J101" s="19"/>
      <c r="K101" s="19"/>
      <c r="L101" s="19"/>
      <c r="M101" s="19"/>
      <c r="N101" s="19"/>
      <c r="O101" s="19"/>
      <c r="P101" s="19">
        <v>880.0</v>
      </c>
      <c r="Q101" s="19"/>
      <c r="R101" s="20">
        <f t="shared" si="9"/>
        <v>8120</v>
      </c>
      <c r="S101" s="19">
        <f t="shared" si="10"/>
        <v>362</v>
      </c>
      <c r="T101" s="19"/>
      <c r="U101" s="19">
        <f>I101*0.21</f>
        <v>1520.4</v>
      </c>
      <c r="V101" s="19"/>
      <c r="W101" s="20">
        <f t="shared" si="12"/>
        <v>1882.4</v>
      </c>
      <c r="X101" s="21">
        <f t="shared" si="13"/>
        <v>10002.4</v>
      </c>
      <c r="Y101" s="22">
        <f t="shared" si="14"/>
        <v>45.46545455</v>
      </c>
      <c r="Z101" s="19">
        <v>217.2</v>
      </c>
      <c r="AA101" s="19">
        <v>0.0</v>
      </c>
      <c r="AB101" s="19">
        <v>832.41</v>
      </c>
      <c r="AC101" s="19">
        <v>0.0</v>
      </c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</row>
    <row r="102" ht="11.25" customHeight="1">
      <c r="A102" s="25">
        <v>45474.0</v>
      </c>
      <c r="B102" s="24">
        <v>2024.0</v>
      </c>
      <c r="C102" s="24" t="s">
        <v>104</v>
      </c>
      <c r="D102" s="18" t="s">
        <v>85</v>
      </c>
      <c r="E102" s="18" t="s">
        <v>105</v>
      </c>
      <c r="F102" s="18" t="s">
        <v>87</v>
      </c>
      <c r="G102" s="18">
        <v>1.0</v>
      </c>
      <c r="H102" s="18" t="s">
        <v>38</v>
      </c>
      <c r="I102" s="19"/>
      <c r="J102" s="19">
        <f>1530+1511.04</f>
        <v>3041.04</v>
      </c>
      <c r="K102" s="19">
        <v>1649.25</v>
      </c>
      <c r="L102" s="19"/>
      <c r="M102" s="19"/>
      <c r="N102" s="19"/>
      <c r="O102" s="19"/>
      <c r="P102" s="19"/>
      <c r="Q102" s="19"/>
      <c r="R102" s="20">
        <f t="shared" si="9"/>
        <v>4690.29</v>
      </c>
      <c r="S102" s="19">
        <f t="shared" si="10"/>
        <v>0</v>
      </c>
      <c r="T102" s="19"/>
      <c r="U102" s="19"/>
      <c r="V102" s="19"/>
      <c r="W102" s="20">
        <f t="shared" si="12"/>
        <v>0</v>
      </c>
      <c r="X102" s="21">
        <f t="shared" si="13"/>
        <v>4690.29</v>
      </c>
      <c r="Y102" s="22">
        <f t="shared" si="14"/>
        <v>21.3195</v>
      </c>
      <c r="Z102" s="19">
        <v>0.0</v>
      </c>
      <c r="AA102" s="19">
        <v>0.0</v>
      </c>
      <c r="AB102" s="19">
        <v>0.0</v>
      </c>
      <c r="AC102" s="19">
        <v>0.0</v>
      </c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</row>
    <row r="103" ht="11.25" customHeight="1">
      <c r="A103" s="16">
        <v>45474.0</v>
      </c>
      <c r="B103" s="17">
        <v>2024.0</v>
      </c>
      <c r="C103" s="17" t="s">
        <v>84</v>
      </c>
      <c r="D103" s="18" t="s">
        <v>85</v>
      </c>
      <c r="E103" s="18" t="s">
        <v>86</v>
      </c>
      <c r="F103" s="18" t="s">
        <v>87</v>
      </c>
      <c r="G103" s="18">
        <v>1.0</v>
      </c>
      <c r="H103" s="18" t="s">
        <v>36</v>
      </c>
      <c r="I103" s="19"/>
      <c r="J103" s="19">
        <v>1530.0</v>
      </c>
      <c r="K103" s="19">
        <v>1649.25</v>
      </c>
      <c r="L103" s="19"/>
      <c r="M103" s="19"/>
      <c r="N103" s="19"/>
      <c r="O103" s="19"/>
      <c r="P103" s="19"/>
      <c r="Q103" s="19"/>
      <c r="R103" s="20">
        <f t="shared" si="9"/>
        <v>3179.25</v>
      </c>
      <c r="S103" s="19">
        <f t="shared" si="10"/>
        <v>158.9666667</v>
      </c>
      <c r="T103" s="19"/>
      <c r="U103" s="19"/>
      <c r="V103" s="19"/>
      <c r="W103" s="20">
        <f t="shared" si="12"/>
        <v>158.9666667</v>
      </c>
      <c r="X103" s="21">
        <f t="shared" si="13"/>
        <v>3338.216667</v>
      </c>
      <c r="Y103" s="22">
        <f t="shared" si="14"/>
        <v>15.17371212</v>
      </c>
      <c r="Z103" s="19">
        <v>95.38</v>
      </c>
      <c r="AA103" s="19">
        <v>0.0</v>
      </c>
      <c r="AB103" s="19">
        <v>0.0</v>
      </c>
      <c r="AC103" s="19">
        <v>0.0</v>
      </c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</row>
    <row r="104" ht="11.25" customHeight="1">
      <c r="A104" s="25">
        <v>45474.0</v>
      </c>
      <c r="B104" s="24">
        <v>2024.0</v>
      </c>
      <c r="C104" s="24" t="s">
        <v>88</v>
      </c>
      <c r="D104" s="18" t="s">
        <v>85</v>
      </c>
      <c r="E104" s="18" t="s">
        <v>89</v>
      </c>
      <c r="F104" s="18" t="s">
        <v>87</v>
      </c>
      <c r="G104" s="18">
        <v>1.0</v>
      </c>
      <c r="H104" s="18" t="s">
        <v>36</v>
      </c>
      <c r="I104" s="19"/>
      <c r="J104" s="19">
        <v>1530.0</v>
      </c>
      <c r="K104" s="19">
        <v>1649.25</v>
      </c>
      <c r="L104" s="19"/>
      <c r="M104" s="19"/>
      <c r="N104" s="19"/>
      <c r="O104" s="19"/>
      <c r="P104" s="19"/>
      <c r="Q104" s="19"/>
      <c r="R104" s="20">
        <f t="shared" si="9"/>
        <v>3179.25</v>
      </c>
      <c r="S104" s="19">
        <f t="shared" si="10"/>
        <v>158.9666667</v>
      </c>
      <c r="T104" s="19"/>
      <c r="U104" s="19"/>
      <c r="V104" s="19"/>
      <c r="W104" s="20">
        <f t="shared" si="12"/>
        <v>158.9666667</v>
      </c>
      <c r="X104" s="21">
        <f t="shared" si="13"/>
        <v>3338.216667</v>
      </c>
      <c r="Y104" s="22">
        <f t="shared" si="14"/>
        <v>15.17371212</v>
      </c>
      <c r="Z104" s="19">
        <v>95.38</v>
      </c>
      <c r="AA104" s="19">
        <v>0.0</v>
      </c>
      <c r="AB104" s="19">
        <v>0.0</v>
      </c>
      <c r="AC104" s="19">
        <v>0.0</v>
      </c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</row>
    <row r="105" ht="11.25" customHeight="1">
      <c r="A105" s="16">
        <v>45474.0</v>
      </c>
      <c r="B105" s="17">
        <v>2024.0</v>
      </c>
      <c r="C105" s="17" t="s">
        <v>90</v>
      </c>
      <c r="D105" s="18" t="s">
        <v>85</v>
      </c>
      <c r="E105" s="18" t="s">
        <v>91</v>
      </c>
      <c r="F105" s="18" t="s">
        <v>87</v>
      </c>
      <c r="G105" s="18">
        <v>1.0</v>
      </c>
      <c r="H105" s="18" t="s">
        <v>40</v>
      </c>
      <c r="I105" s="19"/>
      <c r="J105" s="19">
        <v>1530.0</v>
      </c>
      <c r="K105" s="19">
        <v>1649.25</v>
      </c>
      <c r="L105" s="19"/>
      <c r="M105" s="19"/>
      <c r="N105" s="19"/>
      <c r="O105" s="19"/>
      <c r="P105" s="19"/>
      <c r="Q105" s="19"/>
      <c r="R105" s="20">
        <f t="shared" si="9"/>
        <v>3179.25</v>
      </c>
      <c r="S105" s="19">
        <f t="shared" si="10"/>
        <v>158.9666667</v>
      </c>
      <c r="T105" s="19"/>
      <c r="U105" s="19"/>
      <c r="V105" s="19"/>
      <c r="W105" s="20">
        <f t="shared" si="12"/>
        <v>158.9666667</v>
      </c>
      <c r="X105" s="21">
        <f t="shared" si="13"/>
        <v>3338.216667</v>
      </c>
      <c r="Y105" s="22">
        <f t="shared" si="14"/>
        <v>15.17371212</v>
      </c>
      <c r="Z105" s="19">
        <v>95.38</v>
      </c>
      <c r="AA105" s="19">
        <v>0.0</v>
      </c>
      <c r="AB105" s="19">
        <v>0.0</v>
      </c>
      <c r="AC105" s="19">
        <v>0.0</v>
      </c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</row>
    <row r="106" ht="11.25" customHeight="1">
      <c r="A106" s="25">
        <v>45474.0</v>
      </c>
      <c r="B106" s="24">
        <v>2024.0</v>
      </c>
      <c r="C106" s="24" t="s">
        <v>92</v>
      </c>
      <c r="D106" s="18" t="s">
        <v>85</v>
      </c>
      <c r="E106" s="18" t="s">
        <v>93</v>
      </c>
      <c r="F106" s="18" t="s">
        <v>94</v>
      </c>
      <c r="G106" s="18">
        <v>1.0</v>
      </c>
      <c r="H106" s="18" t="s">
        <v>38</v>
      </c>
      <c r="I106" s="19"/>
      <c r="J106" s="19">
        <f>1000+6480</f>
        <v>7480</v>
      </c>
      <c r="K106" s="19">
        <v>1649.25</v>
      </c>
      <c r="L106" s="19"/>
      <c r="M106" s="19"/>
      <c r="N106" s="19"/>
      <c r="O106" s="19"/>
      <c r="P106" s="19"/>
      <c r="Q106" s="19"/>
      <c r="R106" s="20">
        <f t="shared" si="9"/>
        <v>9129.25</v>
      </c>
      <c r="S106" s="19">
        <f t="shared" si="10"/>
        <v>456.4666667</v>
      </c>
      <c r="T106" s="19"/>
      <c r="U106" s="19"/>
      <c r="V106" s="19"/>
      <c r="W106" s="20">
        <f t="shared" si="12"/>
        <v>456.4666667</v>
      </c>
      <c r="X106" s="21">
        <f t="shared" si="13"/>
        <v>9585.716667</v>
      </c>
      <c r="Y106" s="22">
        <f t="shared" si="14"/>
        <v>43.57143939</v>
      </c>
      <c r="Z106" s="19">
        <v>273.88</v>
      </c>
      <c r="AA106" s="19">
        <v>0.0</v>
      </c>
      <c r="AB106" s="19">
        <v>0.0</v>
      </c>
      <c r="AC106" s="19">
        <v>0.0</v>
      </c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</row>
    <row r="107" ht="11.25" customHeight="1">
      <c r="A107" s="16">
        <v>45474.0</v>
      </c>
      <c r="B107" s="17">
        <v>2024.0</v>
      </c>
      <c r="C107" s="17" t="s">
        <v>106</v>
      </c>
      <c r="D107" s="18" t="s">
        <v>85</v>
      </c>
      <c r="E107" s="18" t="s">
        <v>61</v>
      </c>
      <c r="F107" s="18" t="s">
        <v>107</v>
      </c>
      <c r="G107" s="18">
        <v>1.0</v>
      </c>
      <c r="H107" s="18" t="s">
        <v>36</v>
      </c>
      <c r="I107" s="19"/>
      <c r="J107" s="19">
        <v>1160.0</v>
      </c>
      <c r="K107" s="19">
        <v>1649.25</v>
      </c>
      <c r="L107" s="19"/>
      <c r="M107" s="19"/>
      <c r="N107" s="19"/>
      <c r="O107" s="19"/>
      <c r="P107" s="19"/>
      <c r="Q107" s="19"/>
      <c r="R107" s="20">
        <f t="shared" si="9"/>
        <v>2809.25</v>
      </c>
      <c r="S107" s="19">
        <f t="shared" si="10"/>
        <v>140.4666667</v>
      </c>
      <c r="T107" s="19"/>
      <c r="U107" s="19"/>
      <c r="V107" s="19"/>
      <c r="W107" s="20">
        <f t="shared" si="12"/>
        <v>140.4666667</v>
      </c>
      <c r="X107" s="21">
        <f t="shared" si="13"/>
        <v>2949.716667</v>
      </c>
      <c r="Y107" s="22">
        <f t="shared" si="14"/>
        <v>13.40780303</v>
      </c>
      <c r="Z107" s="19">
        <v>84.28</v>
      </c>
      <c r="AA107" s="19">
        <v>0.0</v>
      </c>
      <c r="AB107" s="19">
        <v>0.0</v>
      </c>
      <c r="AC107" s="19">
        <v>0.0</v>
      </c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</row>
    <row r="108" ht="11.25" customHeight="1">
      <c r="A108" s="25">
        <v>45474.0</v>
      </c>
      <c r="B108" s="24">
        <v>2024.0</v>
      </c>
      <c r="C108" s="24" t="s">
        <v>108</v>
      </c>
      <c r="D108" s="18" t="s">
        <v>85</v>
      </c>
      <c r="E108" s="18" t="s">
        <v>109</v>
      </c>
      <c r="F108" s="18" t="s">
        <v>94</v>
      </c>
      <c r="G108" s="18">
        <v>1.0</v>
      </c>
      <c r="H108" s="18" t="s">
        <v>38</v>
      </c>
      <c r="I108" s="19"/>
      <c r="J108" s="19">
        <f>1160+1511.04</f>
        <v>2671.04</v>
      </c>
      <c r="K108" s="19">
        <v>1649.25</v>
      </c>
      <c r="L108" s="19"/>
      <c r="M108" s="19"/>
      <c r="N108" s="19"/>
      <c r="O108" s="19"/>
      <c r="P108" s="19"/>
      <c r="Q108" s="19"/>
      <c r="R108" s="20">
        <f t="shared" si="9"/>
        <v>4320.29</v>
      </c>
      <c r="S108" s="19">
        <f t="shared" si="10"/>
        <v>216.0166667</v>
      </c>
      <c r="T108" s="19"/>
      <c r="U108" s="19"/>
      <c r="V108" s="19"/>
      <c r="W108" s="20">
        <f t="shared" si="12"/>
        <v>216.0166667</v>
      </c>
      <c r="X108" s="21">
        <f t="shared" si="13"/>
        <v>4536.306667</v>
      </c>
      <c r="Y108" s="22">
        <f t="shared" si="14"/>
        <v>20.61957576</v>
      </c>
      <c r="Z108" s="19">
        <v>129.61</v>
      </c>
      <c r="AA108" s="19">
        <v>0.0</v>
      </c>
      <c r="AB108" s="19">
        <v>0.0</v>
      </c>
      <c r="AC108" s="19">
        <v>0.0</v>
      </c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</row>
    <row r="109" ht="11.25" customHeight="1">
      <c r="A109" s="16">
        <v>45474.0</v>
      </c>
      <c r="B109" s="17">
        <v>2024.0</v>
      </c>
      <c r="C109" s="17" t="s">
        <v>110</v>
      </c>
      <c r="D109" s="18" t="s">
        <v>85</v>
      </c>
      <c r="E109" s="18" t="s">
        <v>43</v>
      </c>
      <c r="F109" s="18" t="s">
        <v>87</v>
      </c>
      <c r="G109" s="18">
        <v>1.0</v>
      </c>
      <c r="H109" s="18" t="s">
        <v>36</v>
      </c>
      <c r="I109" s="19"/>
      <c r="J109" s="19">
        <v>1530.0</v>
      </c>
      <c r="K109" s="19">
        <v>1649.25</v>
      </c>
      <c r="L109" s="19"/>
      <c r="M109" s="19"/>
      <c r="N109" s="19"/>
      <c r="O109" s="19"/>
      <c r="P109" s="19"/>
      <c r="Q109" s="19"/>
      <c r="R109" s="20">
        <f t="shared" si="9"/>
        <v>3179.25</v>
      </c>
      <c r="S109" s="19">
        <f t="shared" si="10"/>
        <v>0</v>
      </c>
      <c r="T109" s="19"/>
      <c r="U109" s="19"/>
      <c r="V109" s="19"/>
      <c r="W109" s="20">
        <f t="shared" si="12"/>
        <v>0</v>
      </c>
      <c r="X109" s="21">
        <f t="shared" si="13"/>
        <v>3179.25</v>
      </c>
      <c r="Y109" s="22">
        <f t="shared" si="14"/>
        <v>14.45113636</v>
      </c>
      <c r="Z109" s="19">
        <v>0.0</v>
      </c>
      <c r="AA109" s="19">
        <v>0.0</v>
      </c>
      <c r="AB109" s="19">
        <v>0.0</v>
      </c>
      <c r="AC109" s="19">
        <v>0.0</v>
      </c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</row>
    <row r="110" ht="11.25" customHeight="1">
      <c r="A110" s="25">
        <v>45474.0</v>
      </c>
      <c r="B110" s="24">
        <v>2024.0</v>
      </c>
      <c r="C110" s="24" t="s">
        <v>111</v>
      </c>
      <c r="D110" s="18" t="s">
        <v>85</v>
      </c>
      <c r="E110" s="18"/>
      <c r="F110" s="18" t="s">
        <v>99</v>
      </c>
      <c r="G110" s="18">
        <v>1.0</v>
      </c>
      <c r="H110" s="18" t="s">
        <v>36</v>
      </c>
      <c r="I110" s="19"/>
      <c r="J110" s="19"/>
      <c r="K110" s="19">
        <v>1236.94</v>
      </c>
      <c r="L110" s="19"/>
      <c r="M110" s="19"/>
      <c r="N110" s="19"/>
      <c r="O110" s="19"/>
      <c r="P110" s="19"/>
      <c r="Q110" s="19"/>
      <c r="R110" s="20">
        <f t="shared" si="9"/>
        <v>1236.94</v>
      </c>
      <c r="S110" s="19">
        <f t="shared" si="10"/>
        <v>61.85</v>
      </c>
      <c r="T110" s="19"/>
      <c r="U110" s="19"/>
      <c r="V110" s="19"/>
      <c r="W110" s="20">
        <f t="shared" si="12"/>
        <v>61.85</v>
      </c>
      <c r="X110" s="21">
        <f t="shared" si="13"/>
        <v>1298.79</v>
      </c>
      <c r="Y110" s="22">
        <f t="shared" si="14"/>
        <v>5.903590909</v>
      </c>
      <c r="Z110" s="19">
        <v>37.11</v>
      </c>
      <c r="AA110" s="19">
        <v>0.0</v>
      </c>
      <c r="AB110" s="19">
        <v>0.0</v>
      </c>
      <c r="AC110" s="19">
        <v>0.0</v>
      </c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</row>
    <row r="111" ht="11.25" customHeight="1">
      <c r="A111" s="16">
        <v>45474.0</v>
      </c>
      <c r="B111" s="17">
        <v>2024.0</v>
      </c>
      <c r="C111" s="17" t="s">
        <v>98</v>
      </c>
      <c r="D111" s="18" t="s">
        <v>85</v>
      </c>
      <c r="E111" s="18"/>
      <c r="F111" s="18" t="s">
        <v>99</v>
      </c>
      <c r="G111" s="18">
        <v>1.0</v>
      </c>
      <c r="H111" s="18" t="s">
        <v>40</v>
      </c>
      <c r="I111" s="19"/>
      <c r="J111" s="19"/>
      <c r="K111" s="19">
        <v>1649.25</v>
      </c>
      <c r="L111" s="19"/>
      <c r="M111" s="19"/>
      <c r="N111" s="19"/>
      <c r="O111" s="19"/>
      <c r="P111" s="19"/>
      <c r="Q111" s="19"/>
      <c r="R111" s="20">
        <f t="shared" si="9"/>
        <v>1649.25</v>
      </c>
      <c r="S111" s="19">
        <f t="shared" si="10"/>
        <v>82.46666667</v>
      </c>
      <c r="T111" s="19"/>
      <c r="U111" s="19"/>
      <c r="V111" s="19"/>
      <c r="W111" s="20">
        <f t="shared" si="12"/>
        <v>82.46666667</v>
      </c>
      <c r="X111" s="21">
        <f t="shared" si="13"/>
        <v>1731.716667</v>
      </c>
      <c r="Y111" s="22">
        <f t="shared" si="14"/>
        <v>7.871439394</v>
      </c>
      <c r="Z111" s="19">
        <v>49.48</v>
      </c>
      <c r="AA111" s="19">
        <v>0.0</v>
      </c>
      <c r="AB111" s="19">
        <v>0.0</v>
      </c>
      <c r="AC111" s="19">
        <v>0.0</v>
      </c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</row>
    <row r="112" ht="11.2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</row>
    <row r="113" ht="11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</row>
    <row r="114" ht="11.2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</row>
    <row r="115" ht="11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</row>
    <row r="116" ht="11.2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</row>
    <row r="117" ht="11.2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</row>
    <row r="118" ht="11.2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</row>
    <row r="119" ht="11.2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</row>
    <row r="120" ht="11.2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</row>
    <row r="121" ht="11.2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</row>
    <row r="122" ht="11.2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</row>
    <row r="123" ht="11.2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</row>
    <row r="124" ht="11.2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</row>
    <row r="125" ht="11.2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</row>
    <row r="126" ht="11.2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</row>
    <row r="127" ht="11.2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</row>
    <row r="128" ht="11.2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</row>
    <row r="129" ht="11.2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</row>
    <row r="130" ht="11.2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</row>
    <row r="131" ht="11.2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</row>
    <row r="132" ht="11.2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</row>
    <row r="133" ht="11.2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</row>
    <row r="134" ht="11.2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</row>
    <row r="135" ht="11.2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</row>
    <row r="136" ht="11.2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</row>
    <row r="137" ht="11.2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</row>
    <row r="138" ht="11.2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</row>
    <row r="139" ht="11.2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</row>
    <row r="140" ht="11.2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</row>
    <row r="141" ht="11.2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</row>
    <row r="142" ht="11.2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</row>
    <row r="143" ht="11.2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</row>
    <row r="144" ht="11.2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</row>
    <row r="145" ht="11.2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</row>
    <row r="146" ht="11.2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</row>
    <row r="147" ht="11.2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</row>
    <row r="148" ht="11.2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</row>
    <row r="149" ht="11.2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</row>
    <row r="150" ht="11.2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</row>
    <row r="151" ht="11.2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</row>
    <row r="152" ht="11.2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</row>
    <row r="153" ht="11.2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</row>
    <row r="154" ht="11.2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</row>
    <row r="155" ht="11.2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</row>
    <row r="156" ht="11.2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</row>
    <row r="157" ht="11.2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</row>
    <row r="158" ht="11.2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</row>
    <row r="159" ht="11.2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</row>
    <row r="160" ht="11.2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</row>
    <row r="161" ht="11.2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</row>
    <row r="162" ht="11.2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</row>
    <row r="163" ht="11.2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</row>
    <row r="164" ht="11.2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</row>
    <row r="165" ht="11.2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</row>
    <row r="166" ht="11.2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</row>
    <row r="167" ht="11.2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</row>
    <row r="168" ht="11.2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</row>
    <row r="169" ht="11.2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</row>
    <row r="170" ht="11.2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</row>
    <row r="171" ht="11.2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</row>
    <row r="172" ht="11.2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</row>
    <row r="173" ht="11.2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</row>
    <row r="174" ht="11.2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</row>
    <row r="175" ht="11.2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</row>
    <row r="176" ht="11.2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</row>
    <row r="177" ht="11.2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</row>
    <row r="178" ht="11.2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</row>
    <row r="179" ht="11.2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</row>
    <row r="180" ht="11.2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</row>
    <row r="181" ht="11.2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</row>
    <row r="182" ht="11.2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</row>
    <row r="183" ht="11.2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</row>
    <row r="184" ht="11.2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</row>
    <row r="185" ht="11.2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</row>
    <row r="186" ht="11.2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</row>
    <row r="187" ht="11.2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</row>
    <row r="188" ht="11.2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</row>
    <row r="189" ht="11.2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</row>
    <row r="190" ht="11.2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</row>
    <row r="191" ht="11.2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</row>
    <row r="192" ht="11.2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</row>
    <row r="193" ht="11.2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</row>
    <row r="194" ht="11.2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</row>
    <row r="195" ht="11.2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</row>
    <row r="196" ht="11.2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</row>
    <row r="197" ht="11.2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</row>
    <row r="198" ht="11.2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</row>
    <row r="199" ht="11.2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</row>
    <row r="200" ht="11.2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</row>
    <row r="201" ht="11.2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</row>
    <row r="202" ht="11.2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</row>
    <row r="203" ht="11.2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</row>
    <row r="204" ht="11.2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</row>
    <row r="205" ht="11.2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</row>
    <row r="206" ht="11.2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</row>
    <row r="207" ht="11.2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</row>
    <row r="208" ht="11.2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</row>
    <row r="209" ht="11.2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</row>
    <row r="210" ht="11.2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</row>
    <row r="211" ht="11.2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</row>
    <row r="212" ht="11.2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</row>
    <row r="213" ht="11.2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</row>
    <row r="214" ht="11.2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</row>
    <row r="215" ht="11.2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</row>
    <row r="216" ht="11.2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</row>
    <row r="217" ht="11.2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</row>
    <row r="218" ht="11.2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</row>
    <row r="219" ht="11.2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</row>
    <row r="220" ht="11.2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</row>
    <row r="221" ht="11.2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</row>
    <row r="222" ht="11.2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</row>
    <row r="223" ht="11.2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</row>
    <row r="224" ht="11.2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</row>
    <row r="225" ht="11.2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</row>
    <row r="226" ht="11.2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</row>
    <row r="227" ht="11.2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</row>
    <row r="228" ht="11.2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</row>
    <row r="229" ht="11.2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</row>
    <row r="230" ht="11.2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</row>
    <row r="231" ht="11.2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</row>
    <row r="232" ht="11.2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</row>
    <row r="233" ht="11.2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</row>
    <row r="234" ht="11.2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</row>
    <row r="235" ht="11.2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</row>
    <row r="236" ht="11.2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</row>
    <row r="237" ht="11.2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</row>
    <row r="238" ht="11.2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</row>
    <row r="239" ht="11.2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</row>
    <row r="240" ht="11.2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</row>
    <row r="241" ht="11.2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</row>
    <row r="242" ht="11.2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</row>
    <row r="243" ht="11.2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</row>
    <row r="244" ht="11.2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</row>
    <row r="245" ht="11.2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</row>
    <row r="246" ht="11.2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</row>
    <row r="247" ht="11.2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</row>
    <row r="248" ht="11.2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</row>
    <row r="249" ht="11.2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</row>
    <row r="250" ht="11.2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</row>
    <row r="251" ht="11.2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</row>
    <row r="252" ht="11.2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</row>
    <row r="253" ht="11.2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</row>
    <row r="254" ht="11.2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</row>
    <row r="255" ht="11.2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</row>
    <row r="256" ht="11.2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</row>
    <row r="257" ht="11.2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</row>
    <row r="258" ht="11.2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</row>
    <row r="259" ht="11.2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</row>
    <row r="260" ht="11.2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</row>
    <row r="261" ht="11.2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</row>
    <row r="262" ht="11.2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</row>
    <row r="263" ht="11.2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</row>
    <row r="264" ht="11.2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</row>
    <row r="265" ht="11.2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</row>
    <row r="266" ht="11.2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</row>
    <row r="267" ht="11.2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</row>
    <row r="268" ht="11.2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</row>
    <row r="269" ht="11.2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</row>
    <row r="270" ht="11.2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</row>
    <row r="271" ht="11.2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</row>
    <row r="272" ht="11.2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</row>
    <row r="273" ht="11.2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</row>
    <row r="274" ht="11.2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</row>
    <row r="275" ht="11.2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</row>
    <row r="276" ht="11.2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</row>
    <row r="277" ht="11.2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</row>
    <row r="278" ht="11.2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</row>
    <row r="279" ht="11.2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</row>
    <row r="280" ht="11.2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</row>
    <row r="281" ht="11.2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</row>
    <row r="282" ht="11.2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</row>
    <row r="283" ht="11.2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</row>
    <row r="284" ht="11.2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</row>
    <row r="285" ht="11.2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</row>
    <row r="286" ht="11.2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</row>
    <row r="287" ht="11.2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</row>
    <row r="288" ht="11.2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</row>
    <row r="289" ht="11.2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</row>
    <row r="290" ht="11.2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</row>
    <row r="291" ht="11.2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</row>
    <row r="292" ht="11.2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</row>
    <row r="293" ht="11.2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</row>
    <row r="294" ht="11.2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</row>
    <row r="295" ht="11.2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</row>
    <row r="296" ht="11.2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</row>
    <row r="297" ht="11.2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</row>
    <row r="298" ht="11.2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</row>
    <row r="299" ht="11.2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</row>
    <row r="300" ht="11.2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</row>
    <row r="301" ht="11.2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</row>
    <row r="302" ht="11.2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</row>
    <row r="303" ht="11.2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</row>
    <row r="304" ht="11.2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</row>
    <row r="305" ht="11.2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</row>
    <row r="306" ht="11.2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</row>
    <row r="307" ht="11.2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</row>
    <row r="308" ht="11.2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</row>
    <row r="309" ht="11.2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</row>
    <row r="310" ht="11.2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</row>
    <row r="311" ht="11.2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</row>
    <row r="312" ht="11.2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</row>
    <row r="313" ht="11.2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</row>
    <row r="314" ht="11.2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</row>
    <row r="315" ht="11.2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</row>
    <row r="316" ht="11.2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</row>
    <row r="317" ht="11.2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</row>
    <row r="318" ht="11.2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</row>
    <row r="319" ht="11.2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</row>
    <row r="320" ht="11.2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</row>
    <row r="321" ht="11.2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</row>
    <row r="322" ht="11.2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</row>
    <row r="323" ht="11.2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</row>
    <row r="324" ht="11.2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</row>
    <row r="325" ht="11.2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</row>
    <row r="326" ht="11.2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</row>
    <row r="327" ht="11.2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</row>
    <row r="328" ht="11.2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</row>
    <row r="329" ht="11.2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</row>
    <row r="330" ht="11.2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</row>
    <row r="331" ht="11.2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</row>
    <row r="332" ht="11.2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</row>
    <row r="333" ht="11.2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</row>
    <row r="334" ht="11.2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</row>
    <row r="335" ht="11.2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</row>
    <row r="336" ht="11.2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</row>
    <row r="337" ht="11.2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</row>
    <row r="338" ht="11.2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</row>
    <row r="339" ht="11.2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</row>
    <row r="340" ht="11.2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</row>
    <row r="341" ht="11.2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</row>
    <row r="342" ht="11.2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</row>
    <row r="343" ht="11.2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</row>
    <row r="344" ht="11.2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</row>
    <row r="345" ht="11.2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</row>
    <row r="346" ht="11.2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</row>
    <row r="347" ht="11.2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</row>
    <row r="348" ht="11.2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</row>
    <row r="349" ht="11.2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</row>
    <row r="350" ht="11.2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</row>
    <row r="351" ht="11.2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</row>
    <row r="352" ht="11.2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</row>
    <row r="353" ht="11.2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</row>
    <row r="354" ht="11.2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</row>
    <row r="355" ht="11.2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</row>
    <row r="356" ht="11.2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</row>
    <row r="357" ht="11.2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</row>
    <row r="358" ht="11.2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</row>
    <row r="359" ht="11.2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</row>
    <row r="360" ht="11.2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</row>
    <row r="361" ht="11.2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</row>
    <row r="362" ht="11.2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</row>
    <row r="363" ht="11.2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</row>
    <row r="364" ht="11.2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</row>
    <row r="365" ht="11.2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</row>
    <row r="366" ht="11.2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</row>
    <row r="367" ht="11.2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</row>
    <row r="368" ht="11.2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</row>
    <row r="369" ht="11.2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</row>
    <row r="370" ht="11.2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</row>
    <row r="371" ht="11.2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</row>
    <row r="372" ht="11.2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</row>
    <row r="373" ht="11.2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</row>
    <row r="374" ht="11.2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</row>
    <row r="375" ht="11.2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</row>
    <row r="376" ht="11.2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</row>
    <row r="377" ht="11.2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</row>
    <row r="378" ht="11.2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</row>
    <row r="379" ht="11.2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</row>
    <row r="380" ht="11.2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</row>
    <row r="381" ht="11.2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</row>
    <row r="382" ht="11.2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</row>
    <row r="383" ht="11.2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</row>
    <row r="384" ht="11.2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</row>
    <row r="385" ht="11.2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</row>
    <row r="386" ht="11.2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</row>
    <row r="387" ht="11.2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</row>
    <row r="388" ht="11.2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</row>
    <row r="389" ht="11.2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</row>
    <row r="390" ht="11.2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</row>
    <row r="391" ht="11.2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</row>
    <row r="392" ht="11.2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</row>
    <row r="393" ht="11.2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</row>
    <row r="394" ht="11.2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</row>
    <row r="395" ht="11.2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</row>
    <row r="396" ht="11.2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</row>
    <row r="397" ht="11.2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</row>
    <row r="398" ht="11.2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</row>
    <row r="399" ht="11.2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</row>
    <row r="400" ht="11.2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</row>
    <row r="401" ht="11.2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</row>
    <row r="402" ht="11.2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</row>
    <row r="403" ht="11.2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</row>
    <row r="404" ht="11.2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</row>
    <row r="405" ht="11.2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</row>
    <row r="406" ht="11.2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</row>
    <row r="407" ht="11.2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</row>
    <row r="408" ht="11.2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</row>
    <row r="409" ht="11.2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</row>
    <row r="410" ht="11.2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</row>
    <row r="411" ht="11.2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</row>
    <row r="412" ht="11.2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</row>
    <row r="413" ht="11.2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</row>
    <row r="414" ht="11.2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</row>
    <row r="415" ht="11.2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</row>
    <row r="416" ht="11.2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</row>
    <row r="417" ht="11.2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</row>
    <row r="418" ht="11.2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</row>
    <row r="419" ht="11.2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</row>
    <row r="420" ht="11.2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</row>
    <row r="421" ht="11.2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</row>
    <row r="422" ht="11.2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</row>
    <row r="423" ht="11.2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</row>
    <row r="424" ht="11.2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</row>
    <row r="425" ht="11.2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</row>
    <row r="426" ht="11.2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</row>
    <row r="427" ht="11.2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</row>
    <row r="428" ht="11.2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</row>
    <row r="429" ht="11.2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</row>
    <row r="430" ht="11.2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</row>
    <row r="431" ht="11.2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</row>
    <row r="432" ht="11.2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</row>
    <row r="433" ht="11.2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</row>
    <row r="434" ht="11.2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</row>
    <row r="435" ht="11.2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</row>
    <row r="436" ht="11.2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</row>
    <row r="437" ht="11.2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</row>
    <row r="438" ht="11.2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</row>
    <row r="439" ht="11.2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</row>
    <row r="440" ht="11.2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</row>
    <row r="441" ht="11.2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</row>
    <row r="442" ht="11.2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</row>
    <row r="443" ht="11.2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</row>
    <row r="444" ht="11.2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</row>
    <row r="445" ht="11.2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</row>
    <row r="446" ht="11.2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</row>
    <row r="447" ht="11.2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</row>
    <row r="448" ht="11.2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</row>
    <row r="449" ht="11.2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</row>
    <row r="450" ht="11.2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</row>
    <row r="451" ht="11.2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</row>
    <row r="452" ht="11.2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</row>
    <row r="453" ht="11.2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</row>
    <row r="454" ht="11.2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</row>
    <row r="455" ht="11.2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</row>
    <row r="456" ht="11.2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</row>
    <row r="457" ht="11.2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</row>
    <row r="458" ht="11.2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</row>
    <row r="459" ht="11.2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</row>
    <row r="460" ht="11.2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</row>
    <row r="461" ht="11.2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</row>
    <row r="462" ht="11.2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</row>
    <row r="463" ht="11.2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</row>
    <row r="464" ht="11.2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</row>
    <row r="465" ht="11.2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</row>
    <row r="466" ht="11.2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</row>
    <row r="467" ht="11.2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</row>
    <row r="468" ht="11.2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</row>
    <row r="469" ht="11.2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</row>
    <row r="470" ht="11.2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</row>
    <row r="471" ht="11.2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</row>
    <row r="472" ht="11.2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</row>
    <row r="473" ht="11.2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</row>
    <row r="474" ht="11.2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</row>
    <row r="475" ht="11.2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</row>
    <row r="476" ht="11.2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</row>
    <row r="477" ht="11.2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</row>
    <row r="478" ht="11.2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</row>
    <row r="479" ht="11.2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</row>
    <row r="480" ht="11.2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</row>
    <row r="481" ht="11.2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</row>
    <row r="482" ht="11.2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</row>
    <row r="483" ht="11.2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</row>
    <row r="484" ht="11.2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</row>
    <row r="485" ht="11.2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</row>
    <row r="486" ht="11.2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</row>
    <row r="487" ht="11.2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</row>
    <row r="488" ht="11.2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</row>
    <row r="489" ht="11.2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</row>
    <row r="490" ht="11.2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</row>
    <row r="491" ht="11.2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</row>
    <row r="492" ht="11.2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</row>
    <row r="493" ht="11.2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</row>
    <row r="494" ht="11.2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</row>
    <row r="495" ht="11.2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</row>
    <row r="496" ht="11.2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</row>
    <row r="497" ht="11.2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</row>
    <row r="498" ht="11.2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</row>
    <row r="499" ht="11.2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</row>
    <row r="500" ht="11.2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</row>
    <row r="501" ht="11.2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</row>
    <row r="502" ht="11.2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</row>
    <row r="503" ht="11.2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</row>
    <row r="504" ht="11.2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</row>
    <row r="505" ht="11.2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</row>
    <row r="506" ht="11.2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</row>
    <row r="507" ht="11.2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</row>
    <row r="508" ht="11.2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</row>
    <row r="509" ht="11.2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</row>
    <row r="510" ht="11.2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</row>
    <row r="511" ht="11.2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</row>
    <row r="512" ht="11.2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</row>
    <row r="513" ht="11.2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</row>
    <row r="514" ht="11.2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</row>
    <row r="515" ht="11.2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</row>
    <row r="516" ht="11.2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</row>
    <row r="517" ht="11.2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</row>
    <row r="518" ht="11.2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</row>
    <row r="519" ht="11.2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</row>
    <row r="520" ht="11.2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</row>
    <row r="521" ht="11.2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</row>
    <row r="522" ht="11.2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</row>
    <row r="523" ht="11.2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</row>
    <row r="524" ht="11.2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</row>
    <row r="525" ht="11.2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</row>
    <row r="526" ht="11.2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</row>
    <row r="527" ht="11.2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</row>
    <row r="528" ht="11.2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</row>
    <row r="529" ht="11.2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</row>
    <row r="530" ht="11.2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</row>
    <row r="531" ht="11.2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</row>
    <row r="532" ht="11.2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</row>
    <row r="533" ht="11.2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</row>
    <row r="534" ht="11.2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</row>
    <row r="535" ht="11.2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</row>
    <row r="536" ht="11.2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</row>
    <row r="537" ht="11.2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</row>
    <row r="538" ht="11.2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</row>
    <row r="539" ht="11.2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</row>
    <row r="540" ht="11.2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</row>
    <row r="541" ht="11.2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</row>
    <row r="542" ht="11.2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</row>
    <row r="543" ht="11.2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</row>
    <row r="544" ht="11.2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</row>
    <row r="545" ht="11.2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</row>
    <row r="546" ht="11.2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</row>
    <row r="547" ht="11.2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</row>
    <row r="548" ht="11.2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</row>
    <row r="549" ht="11.2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</row>
    <row r="550" ht="11.2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</row>
    <row r="551" ht="11.2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</row>
    <row r="552" ht="11.2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</row>
    <row r="553" ht="11.2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</row>
    <row r="554" ht="11.2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</row>
    <row r="555" ht="11.2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</row>
    <row r="556" ht="11.2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</row>
    <row r="557" ht="11.2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</row>
    <row r="558" ht="11.2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</row>
    <row r="559" ht="11.2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</row>
    <row r="560" ht="11.2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</row>
    <row r="561" ht="11.2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</row>
    <row r="562" ht="11.2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</row>
    <row r="563" ht="11.2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</row>
    <row r="564" ht="11.2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</row>
    <row r="565" ht="11.2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</row>
    <row r="566" ht="11.2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</row>
    <row r="567" ht="11.2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</row>
    <row r="568" ht="11.2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</row>
    <row r="569" ht="11.2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</row>
    <row r="570" ht="11.2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</row>
    <row r="571" ht="11.2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</row>
    <row r="572" ht="11.2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</row>
    <row r="573" ht="11.2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</row>
    <row r="574" ht="11.2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</row>
    <row r="575" ht="11.2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</row>
    <row r="576" ht="11.2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</row>
    <row r="577" ht="11.2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</row>
    <row r="578" ht="11.2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</row>
    <row r="579" ht="11.2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</row>
    <row r="580" ht="11.2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</row>
    <row r="581" ht="11.2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</row>
    <row r="582" ht="11.2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</row>
    <row r="583" ht="11.2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</row>
    <row r="584" ht="11.2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</row>
    <row r="585" ht="11.2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</row>
    <row r="586" ht="11.2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</row>
    <row r="587" ht="11.2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</row>
    <row r="588" ht="11.2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</row>
    <row r="589" ht="11.2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</row>
    <row r="590" ht="11.2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</row>
    <row r="591" ht="11.2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</row>
    <row r="592" ht="11.2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</row>
    <row r="593" ht="11.2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</row>
    <row r="594" ht="11.2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</row>
    <row r="595" ht="11.2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</row>
    <row r="596" ht="11.2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</row>
    <row r="597" ht="11.2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</row>
    <row r="598" ht="11.2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</row>
    <row r="599" ht="11.2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</row>
    <row r="600" ht="11.2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</row>
    <row r="601" ht="11.2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</row>
    <row r="602" ht="11.2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</row>
    <row r="603" ht="11.2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</row>
    <row r="604" ht="11.2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</row>
    <row r="605" ht="11.2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</row>
    <row r="606" ht="11.2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</row>
    <row r="607" ht="11.2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</row>
    <row r="608" ht="11.2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</row>
    <row r="609" ht="11.2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</row>
    <row r="610" ht="11.2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</row>
    <row r="611" ht="11.2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</row>
    <row r="612" ht="11.2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</row>
    <row r="613" ht="11.2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</row>
    <row r="614" ht="11.2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</row>
    <row r="615" ht="11.2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</row>
    <row r="616" ht="11.2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</row>
    <row r="617" ht="11.2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</row>
    <row r="618" ht="11.2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</row>
    <row r="619" ht="11.2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</row>
    <row r="620" ht="11.2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</row>
    <row r="621" ht="11.2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</row>
    <row r="622" ht="11.2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</row>
    <row r="623" ht="11.2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</row>
    <row r="624" ht="11.2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</row>
    <row r="625" ht="11.2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</row>
    <row r="626" ht="11.2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</row>
    <row r="627" ht="11.2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</row>
    <row r="628" ht="11.2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</row>
    <row r="629" ht="11.2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</row>
    <row r="630" ht="11.2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</row>
    <row r="631" ht="11.2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</row>
    <row r="632" ht="11.2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</row>
    <row r="633" ht="11.2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</row>
    <row r="634" ht="11.2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</row>
    <row r="635" ht="11.2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</row>
    <row r="636" ht="11.2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</row>
    <row r="637" ht="11.2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</row>
    <row r="638" ht="11.2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</row>
    <row r="639" ht="11.2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</row>
    <row r="640" ht="11.2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</row>
    <row r="641" ht="11.2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</row>
    <row r="642" ht="11.2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</row>
    <row r="643" ht="11.2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</row>
    <row r="644" ht="11.2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</row>
    <row r="645" ht="11.2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</row>
    <row r="646" ht="11.2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</row>
    <row r="647" ht="11.2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</row>
    <row r="648" ht="11.2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</row>
    <row r="649" ht="11.2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</row>
    <row r="650" ht="11.2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</row>
    <row r="651" ht="11.2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</row>
    <row r="652" ht="11.2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</row>
    <row r="653" ht="11.2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</row>
    <row r="654" ht="11.2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</row>
    <row r="655" ht="11.2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</row>
    <row r="656" ht="11.2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</row>
    <row r="657" ht="11.2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</row>
    <row r="658" ht="11.2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</row>
    <row r="659" ht="11.2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</row>
    <row r="660" ht="11.2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</row>
    <row r="661" ht="11.2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</row>
    <row r="662" ht="11.2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</row>
    <row r="663" ht="11.2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</row>
    <row r="664" ht="11.2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</row>
    <row r="665" ht="11.2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</row>
    <row r="666" ht="11.2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</row>
    <row r="667" ht="11.2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</row>
    <row r="668" ht="11.2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</row>
    <row r="669" ht="11.2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</row>
    <row r="670" ht="11.2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</row>
    <row r="671" ht="11.2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</row>
    <row r="672" ht="11.2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</row>
    <row r="673" ht="11.2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</row>
    <row r="674" ht="11.2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</row>
    <row r="675" ht="11.2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</row>
    <row r="676" ht="11.2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</row>
    <row r="677" ht="11.2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</row>
    <row r="678" ht="11.2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</row>
    <row r="679" ht="11.2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</row>
    <row r="680" ht="11.2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</row>
    <row r="681" ht="11.2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</row>
    <row r="682" ht="11.2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</row>
    <row r="683" ht="11.2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</row>
    <row r="684" ht="11.2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</row>
    <row r="685" ht="11.2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</row>
    <row r="686" ht="11.2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</row>
    <row r="687" ht="11.2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</row>
    <row r="688" ht="11.2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</row>
    <row r="689" ht="11.2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</row>
    <row r="690" ht="11.2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</row>
    <row r="691" ht="11.2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</row>
    <row r="692" ht="11.2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</row>
    <row r="693" ht="11.2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</row>
    <row r="694" ht="11.2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</row>
    <row r="695" ht="11.2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</row>
    <row r="696" ht="11.2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</row>
    <row r="697" ht="11.2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</row>
    <row r="698" ht="11.2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</row>
    <row r="699" ht="11.2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</row>
    <row r="700" ht="11.2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</row>
    <row r="701" ht="11.2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</row>
    <row r="702" ht="11.2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</row>
    <row r="703" ht="11.2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</row>
    <row r="704" ht="11.2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</row>
    <row r="705" ht="11.2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</row>
    <row r="706" ht="11.2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</row>
    <row r="707" ht="11.2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</row>
    <row r="708" ht="11.2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</row>
    <row r="709" ht="11.2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</row>
    <row r="710" ht="11.2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</row>
    <row r="711" ht="11.2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</row>
    <row r="712" ht="11.2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</row>
    <row r="713" ht="11.2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</row>
    <row r="714" ht="11.2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</row>
    <row r="715" ht="11.2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</row>
    <row r="716" ht="11.2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</row>
    <row r="717" ht="11.2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</row>
    <row r="718" ht="11.2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</row>
    <row r="719" ht="11.2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</row>
    <row r="720" ht="11.2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</row>
    <row r="721" ht="11.2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</row>
    <row r="722" ht="11.2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</row>
    <row r="723" ht="11.2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</row>
    <row r="724" ht="11.2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</row>
    <row r="725" ht="11.2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</row>
    <row r="726" ht="11.2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</row>
    <row r="727" ht="11.2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</row>
    <row r="728" ht="11.2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</row>
    <row r="729" ht="11.2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</row>
    <row r="730" ht="11.2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</row>
    <row r="731" ht="11.2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</row>
    <row r="732" ht="11.2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</row>
    <row r="733" ht="11.2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</row>
    <row r="734" ht="11.2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</row>
    <row r="735" ht="11.2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</row>
    <row r="736" ht="11.2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</row>
    <row r="737" ht="11.2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</row>
    <row r="738" ht="11.2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</row>
    <row r="739" ht="11.2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</row>
    <row r="740" ht="11.2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</row>
    <row r="741" ht="11.2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</row>
    <row r="742" ht="11.2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</row>
    <row r="743" ht="11.2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</row>
    <row r="744" ht="11.2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</row>
    <row r="745" ht="11.2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</row>
    <row r="746" ht="11.2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</row>
    <row r="747" ht="11.2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</row>
    <row r="748" ht="11.2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</row>
    <row r="749" ht="11.2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</row>
    <row r="750" ht="11.2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</row>
    <row r="751" ht="11.2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</row>
    <row r="752" ht="11.2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</row>
    <row r="753" ht="11.2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</row>
    <row r="754" ht="11.2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</row>
    <row r="755" ht="11.2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</row>
    <row r="756" ht="11.2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</row>
    <row r="757" ht="11.2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</row>
    <row r="758" ht="11.2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</row>
    <row r="759" ht="11.2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</row>
    <row r="760" ht="11.2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</row>
    <row r="761" ht="11.2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</row>
    <row r="762" ht="11.2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</row>
    <row r="763" ht="11.2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</row>
    <row r="764" ht="11.2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</row>
    <row r="765" ht="11.2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</row>
    <row r="766" ht="11.2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</row>
    <row r="767" ht="11.2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</row>
    <row r="768" ht="11.2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</row>
    <row r="769" ht="11.2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</row>
    <row r="770" ht="11.2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</row>
    <row r="771" ht="11.2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</row>
    <row r="772" ht="11.2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</row>
    <row r="773" ht="11.2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</row>
    <row r="774" ht="11.2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</row>
  </sheetData>
  <autoFilter ref="$A$1:$C$111"/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